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hikawa (Dec)" sheetId="1" r:id="rId4"/>
    <sheet state="visible" name="Tokyo (Feb)" sheetId="2" r:id="rId5"/>
    <sheet state="visible" name="Osaka (Feb)" sheetId="3" r:id="rId6"/>
    <sheet state="visible" name="Kyoto (Feb)" sheetId="4" r:id="rId7"/>
    <sheet state="visible" name="Hiroshima (June)" sheetId="5" r:id="rId8"/>
    <sheet state="visible" name="Fukuoka (July)" sheetId="6" r:id="rId9"/>
    <sheet state="visible" name="Chiba (June)" sheetId="7" r:id="rId10"/>
    <sheet state="visible" name="Nagano" sheetId="8" r:id="rId11"/>
    <sheet state="visible" name="Shizuoka" sheetId="9" r:id="rId12"/>
    <sheet state="visible" name="Miyagi" sheetId="10" r:id="rId13"/>
    <sheet state="visible" name="Mie" sheetId="11" r:id="rId14"/>
    <sheet state="visible" name="Niigata" sheetId="12" r:id="rId15"/>
    <sheet state="visible" name="Akita" sheetId="13" r:id="rId16"/>
    <sheet state="visible" name="Miyazaki" sheetId="14" r:id="rId17"/>
    <sheet state="visible" name="Saitama" sheetId="15" r:id="rId18"/>
    <sheet state="visible" name="Hyogo" sheetId="16" r:id="rId19"/>
    <sheet state="visible" name="Tochigi" sheetId="17" r:id="rId20"/>
    <sheet state="visible" name="Gifu" sheetId="18" r:id="rId21"/>
    <sheet state="visible" name="Fukushima" sheetId="19" r:id="rId2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9">
      <text>
        <t xml:space="preserve">There is vacant lots and vacant houses, should I only focus on vacant houses and let the lots?
	-Ibsèn Giovanni Bazie</t>
      </text>
    </comment>
    <comment authorId="0" ref="E17">
      <text>
        <t xml:space="preserve">there is small details about akiyas but no link or pdf about each specific akiya.
	-Ibsèn Giovanni Bazie</t>
      </text>
    </comment>
    <comment authorId="0" ref="E39">
      <text>
        <t xml:space="preserve">There is some data about vacant land but no property about vacant house. I do not know if I could say no property or consider vacant land too
	-Ibsèn Giovanni Bazie
It's alright, for now just add it.
	-Rohit Naidu
Okay okay
	-Ibsèn Giovanni Bazie</t>
      </text>
    </comment>
    <comment authorId="0" ref="E30">
      <text>
        <t xml:space="preserve">There is other towns akiya inside I am not sure if it is very good to put that there or not.
	-Ibsèn Giovanni Bazie
For this particualr one, we can write a script to scrape data specific to this municipality, but could you also check if the other towns have more data on this website compared to their own? If so, we can use this site instead of their individual websites
	-Rohit Naidu
Oh, I did not thought about that. I will search more about that.
	-Ibsèn Giovanni Bazie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8">
      <text>
        <t xml:space="preserve">taishi has also been taken care of, now all that is left is to decide how to store the data.
	-Heitor Cavalcante</t>
      </text>
    </comment>
    <comment authorId="0" ref="B14">
      <text>
        <t xml:space="preserve">was able to recognize each table and extract its data individually.
I am just not sure on how should i store individual data.
	-Heitor Cavalcante</t>
      </text>
    </comment>
    <comment authorId="0" ref="B7">
      <text>
        <t xml:space="preserve">I am able to recognize each table individually and set them appart by serial, but i dont know how to store the data separately.
	-Heitor Cavalcante</t>
      </text>
    </comment>
    <comment authorId="0" ref="E16">
      <text>
        <t xml:space="preserve">weird one.
few details for the pages that do not have PDFs.
	-Heitor Cavalcante</t>
      </text>
    </comment>
  </commentList>
</comments>
</file>

<file path=xl/sharedStrings.xml><?xml version="1.0" encoding="utf-8"?>
<sst xmlns="http://schemas.openxmlformats.org/spreadsheetml/2006/main" count="2242" uniqueCount="804">
  <si>
    <t xml:space="preserve"> (D</t>
  </si>
  <si>
    <t>Ishikawa Akiya Bank</t>
  </si>
  <si>
    <t xml:space="preserve">Number of Units available </t>
  </si>
  <si>
    <t>S/No</t>
  </si>
  <si>
    <t>Municpalitiy</t>
  </si>
  <si>
    <t>Akiya Bank Availability</t>
  </si>
  <si>
    <t xml:space="preserve">Present Data Availability </t>
  </si>
  <si>
    <t>Link For the Present Data</t>
  </si>
  <si>
    <t>Anamizu</t>
  </si>
  <si>
    <t>Present</t>
  </si>
  <si>
    <t>Hakui</t>
  </si>
  <si>
    <t>Hakusan</t>
  </si>
  <si>
    <t>Can't reach website</t>
  </si>
  <si>
    <t>Hodatsushimizu</t>
  </si>
  <si>
    <t>Kaga</t>
  </si>
  <si>
    <t>Page Not Found</t>
  </si>
  <si>
    <t>Kahoku</t>
  </si>
  <si>
    <t>Kanazawa</t>
  </si>
  <si>
    <t>Forbidden</t>
  </si>
  <si>
    <t>Kawakita</t>
  </si>
  <si>
    <t>No Akiya Bank</t>
  </si>
  <si>
    <t>Komatsu</t>
  </si>
  <si>
    <t>Nakanoto</t>
  </si>
  <si>
    <t>Nanao</t>
  </si>
  <si>
    <t>No listing</t>
  </si>
  <si>
    <t>Nomi</t>
  </si>
  <si>
    <t>Nonoichi</t>
  </si>
  <si>
    <t>Noto</t>
  </si>
  <si>
    <t>Shika</t>
  </si>
  <si>
    <t>Suzu</t>
  </si>
  <si>
    <t>Tsubata</t>
  </si>
  <si>
    <t>Uchinada</t>
  </si>
  <si>
    <t>Wajima</t>
  </si>
  <si>
    <t>Tokyo Akiya Bank</t>
  </si>
  <si>
    <t>Adachi</t>
  </si>
  <si>
    <t>Akiruno</t>
  </si>
  <si>
    <t>Akishima</t>
  </si>
  <si>
    <t>Aogashima</t>
  </si>
  <si>
    <t>Arakawa</t>
  </si>
  <si>
    <t>Bunkyo</t>
  </si>
  <si>
    <t>No Vaccancy</t>
  </si>
  <si>
    <t>Chiyoda</t>
  </si>
  <si>
    <t>Chofu</t>
  </si>
  <si>
    <t>Chuo</t>
  </si>
  <si>
    <t>Edogawa</t>
  </si>
  <si>
    <t>Fuchu</t>
  </si>
  <si>
    <t>Fussa</t>
  </si>
  <si>
    <t>Hachijo</t>
  </si>
  <si>
    <t>Hachioji</t>
  </si>
  <si>
    <t>Hamura</t>
  </si>
  <si>
    <t>Higashikume</t>
  </si>
  <si>
    <t>Higashimuraya</t>
  </si>
  <si>
    <t>Higashiyamato</t>
  </si>
  <si>
    <t>Hino</t>
  </si>
  <si>
    <t>Hinode</t>
  </si>
  <si>
    <t>Hinohara</t>
  </si>
  <si>
    <t>PDF Data</t>
  </si>
  <si>
    <t>Inagi</t>
  </si>
  <si>
    <t>Itabashi</t>
  </si>
  <si>
    <t>Katasushika</t>
  </si>
  <si>
    <t>Kita</t>
  </si>
  <si>
    <t>Kiyose</t>
  </si>
  <si>
    <t>Kodaira</t>
  </si>
  <si>
    <t>Koganei</t>
  </si>
  <si>
    <t>Kokubunji</t>
  </si>
  <si>
    <t>Taking to private website, but still no akiyas present</t>
  </si>
  <si>
    <t>Komae</t>
  </si>
  <si>
    <t>Kunitachi</t>
  </si>
  <si>
    <t>Koto</t>
  </si>
  <si>
    <t>Kozushima</t>
  </si>
  <si>
    <t>Machida</t>
  </si>
  <si>
    <t>Meguro</t>
  </si>
  <si>
    <t>Mikurajima</t>
  </si>
  <si>
    <t>Minato</t>
  </si>
  <si>
    <t>Mitaka</t>
  </si>
  <si>
    <t>Miyake</t>
  </si>
  <si>
    <t>Mizuho</t>
  </si>
  <si>
    <t>Musashimuray</t>
  </si>
  <si>
    <t>Musashino</t>
  </si>
  <si>
    <t>Nakano</t>
  </si>
  <si>
    <t>Nerima</t>
  </si>
  <si>
    <t>Nijima</t>
  </si>
  <si>
    <t>Nishitokyo</t>
  </si>
  <si>
    <t>Ogasawara</t>
  </si>
  <si>
    <t>Okutama</t>
  </si>
  <si>
    <t>Setagaya</t>
  </si>
  <si>
    <t>Currently being prepared</t>
  </si>
  <si>
    <t>Shibuya</t>
  </si>
  <si>
    <t>Shinagawara</t>
  </si>
  <si>
    <t>Shinjuku</t>
  </si>
  <si>
    <t>Special Ward C</t>
  </si>
  <si>
    <t>Suginami</t>
  </si>
  <si>
    <t>Sumida</t>
  </si>
  <si>
    <t>Tachikawa</t>
  </si>
  <si>
    <t>Taito</t>
  </si>
  <si>
    <t>Tama</t>
  </si>
  <si>
    <t>Toshima</t>
  </si>
  <si>
    <t>Table Data</t>
  </si>
  <si>
    <t>Ome</t>
  </si>
  <si>
    <t>Oshima</t>
  </si>
  <si>
    <t>Ota</t>
  </si>
  <si>
    <t>Nose</t>
  </si>
  <si>
    <t>Toyono</t>
  </si>
  <si>
    <t>Ikeda</t>
  </si>
  <si>
    <t>Toyonaka</t>
  </si>
  <si>
    <t>Suita</t>
  </si>
  <si>
    <t>Ibaraki</t>
  </si>
  <si>
    <t>Takatsuki</t>
  </si>
  <si>
    <t>moriguchi</t>
  </si>
  <si>
    <t>Neyagawa</t>
  </si>
  <si>
    <t>Yao</t>
  </si>
  <si>
    <t>Kashiwara</t>
  </si>
  <si>
    <t>Fujiidera</t>
  </si>
  <si>
    <t>Habikino</t>
  </si>
  <si>
    <t>Osaka Sayama</t>
  </si>
  <si>
    <t>Tondabayashi</t>
  </si>
  <si>
    <t>Kawachinagano</t>
  </si>
  <si>
    <t>Taishi</t>
  </si>
  <si>
    <t>Kanan</t>
  </si>
  <si>
    <t>Chihaya Akasaka</t>
  </si>
  <si>
    <t>Takaishi</t>
  </si>
  <si>
    <t>Izumiotsu</t>
  </si>
  <si>
    <t>Izumi</t>
  </si>
  <si>
    <t>Kaizuka</t>
  </si>
  <si>
    <t>Private</t>
  </si>
  <si>
    <t>Kumatori</t>
  </si>
  <si>
    <t>Izumisano</t>
  </si>
  <si>
    <t>Sennan</t>
  </si>
  <si>
    <t>Hannan</t>
  </si>
  <si>
    <t>Misaki</t>
  </si>
  <si>
    <t>Table</t>
  </si>
  <si>
    <t>Kyoto Akiya Bank</t>
  </si>
  <si>
    <t>Ayabe</t>
  </si>
  <si>
    <t>Fukuchiyama</t>
  </si>
  <si>
    <t>Ide</t>
  </si>
  <si>
    <t>Currently no data</t>
  </si>
  <si>
    <t>Ine</t>
  </si>
  <si>
    <t>Joyo</t>
  </si>
  <si>
    <t>Kameoka</t>
  </si>
  <si>
    <t>pdf</t>
  </si>
  <si>
    <t>Kasagi</t>
  </si>
  <si>
    <t>pdf(Weak SSL connection)</t>
  </si>
  <si>
    <t>Kizugawa</t>
  </si>
  <si>
    <t>Kumiyama</t>
  </si>
  <si>
    <t>page not found</t>
  </si>
  <si>
    <t>Kyoto</t>
  </si>
  <si>
    <t>currently no data</t>
  </si>
  <si>
    <t>Kyotamba</t>
  </si>
  <si>
    <t>Page not Found</t>
  </si>
  <si>
    <t>Kyotanabe</t>
  </si>
  <si>
    <t>Kyotango</t>
  </si>
  <si>
    <t>Maizuru</t>
  </si>
  <si>
    <t>Minamiyamashiro</t>
  </si>
  <si>
    <t>Miyazu</t>
  </si>
  <si>
    <t>Muko</t>
  </si>
  <si>
    <t>Nagaokakyō</t>
  </si>
  <si>
    <t>Nantan</t>
  </si>
  <si>
    <t>Seika</t>
  </si>
  <si>
    <t>Uji</t>
  </si>
  <si>
    <t>Ujitawara</t>
  </si>
  <si>
    <t>Page not found</t>
  </si>
  <si>
    <t>Wazuka</t>
  </si>
  <si>
    <t>Pdf</t>
  </si>
  <si>
    <t>Yawata</t>
  </si>
  <si>
    <t>Yosano</t>
  </si>
  <si>
    <t>Ōyamazaki</t>
  </si>
  <si>
    <t>Hiroshima Akiya Bank</t>
  </si>
  <si>
    <t>Akitakata</t>
  </si>
  <si>
    <t>Akiota</t>
  </si>
  <si>
    <t>Etajima</t>
  </si>
  <si>
    <t>Page not available</t>
  </si>
  <si>
    <t xml:space="preserve">Fuchu Town </t>
  </si>
  <si>
    <t>Fukuyama</t>
  </si>
  <si>
    <t>No Data</t>
  </si>
  <si>
    <t>Hatsukaichi</t>
  </si>
  <si>
    <t>Higashihiroshima</t>
  </si>
  <si>
    <t>Hiroshima</t>
  </si>
  <si>
    <t>Jinsekikogen</t>
  </si>
  <si>
    <t>Kaita</t>
  </si>
  <si>
    <t>Kitahiroshima</t>
  </si>
  <si>
    <t>Pdf Data</t>
  </si>
  <si>
    <t>Kumano</t>
  </si>
  <si>
    <t>Kure</t>
  </si>
  <si>
    <t>Mihara</t>
  </si>
  <si>
    <t>Miyoshi</t>
  </si>
  <si>
    <t>Onomichi</t>
  </si>
  <si>
    <t>Saka</t>
  </si>
  <si>
    <t>Sera</t>
  </si>
  <si>
    <t>Shobara</t>
  </si>
  <si>
    <t>Unstructured Table</t>
  </si>
  <si>
    <t>Takehara</t>
  </si>
  <si>
    <t>Osakikamijima</t>
  </si>
  <si>
    <t>Otake</t>
  </si>
  <si>
    <t xml:space="preserve"> Fukuoka Akiya Bank</t>
  </si>
  <si>
    <t>Aka</t>
  </si>
  <si>
    <t>Asakura</t>
  </si>
  <si>
    <t>Ashiya</t>
  </si>
  <si>
    <t>Buzen</t>
  </si>
  <si>
    <t>Chikugo</t>
  </si>
  <si>
    <t>Table,Pdf</t>
  </si>
  <si>
    <t>Chikujo</t>
  </si>
  <si>
    <t>Chikushino</t>
  </si>
  <si>
    <t>Chikuzen</t>
  </si>
  <si>
    <t>No data</t>
  </si>
  <si>
    <t>Dazaifu</t>
  </si>
  <si>
    <t>Fukuchi</t>
  </si>
  <si>
    <t>Fukuoka</t>
  </si>
  <si>
    <t>Fukutsu</t>
  </si>
  <si>
    <t>Link To Fukutsu City Akiya Bank</t>
  </si>
  <si>
    <t>Hirokawa</t>
  </si>
  <si>
    <t>Hisayama</t>
  </si>
  <si>
    <t>Iizuka</t>
  </si>
  <si>
    <t>Itoda</t>
  </si>
  <si>
    <t>Itoshima</t>
  </si>
  <si>
    <t>Kama</t>
  </si>
  <si>
    <t>Kanda</t>
  </si>
  <si>
    <t>Kasuga</t>
  </si>
  <si>
    <t>Kasuya</t>
  </si>
  <si>
    <t>Kawara</t>
  </si>
  <si>
    <t>Kawasaki</t>
  </si>
  <si>
    <t>keisen</t>
  </si>
  <si>
    <t>Kitakyushu</t>
  </si>
  <si>
    <t>Koga</t>
  </si>
  <si>
    <t>Kotake</t>
  </si>
  <si>
    <t>Kurate</t>
  </si>
  <si>
    <t>Kurume</t>
  </si>
  <si>
    <t>Koge</t>
  </si>
  <si>
    <t>Miyako</t>
  </si>
  <si>
    <t>Miyama</t>
  </si>
  <si>
    <t>Miyawaka</t>
  </si>
  <si>
    <t>Mizumaki</t>
  </si>
  <si>
    <t>Munakata</t>
  </si>
  <si>
    <t>Nakagawa</t>
  </si>
  <si>
    <t>Nakama</t>
  </si>
  <si>
    <t>Nogata</t>
  </si>
  <si>
    <t>Ogori</t>
  </si>
  <si>
    <t>Displaying vacancies but not displaying details</t>
  </si>
  <si>
    <t>Okagaki</t>
  </si>
  <si>
    <t>Onga</t>
  </si>
  <si>
    <t>Sasaguri</t>
  </si>
  <si>
    <t>Shime</t>
  </si>
  <si>
    <t>Shingu</t>
  </si>
  <si>
    <t>Soeda</t>
  </si>
  <si>
    <t>Sue</t>
  </si>
  <si>
    <t>Tachiarai</t>
  </si>
  <si>
    <t>Tagawa</t>
  </si>
  <si>
    <t>Ukiha</t>
  </si>
  <si>
    <t>There are currently no registered properties.</t>
  </si>
  <si>
    <t>Umi</t>
  </si>
  <si>
    <t>Yame</t>
  </si>
  <si>
    <t>Yanagawa</t>
  </si>
  <si>
    <t>Yoshitomi</t>
  </si>
  <si>
    <t>Yukuhashi</t>
  </si>
  <si>
    <t>Okawa</t>
  </si>
  <si>
    <t>Oki</t>
  </si>
  <si>
    <t>Omuta</t>
  </si>
  <si>
    <t>Onojo</t>
  </si>
  <si>
    <t>Oto</t>
  </si>
  <si>
    <t xml:space="preserve">Chiba </t>
  </si>
  <si>
    <t>Banks</t>
  </si>
  <si>
    <t>Abiko</t>
  </si>
  <si>
    <t>page Not Found</t>
  </si>
  <si>
    <t>Asahi</t>
  </si>
  <si>
    <t>Chiba</t>
  </si>
  <si>
    <t>Chōnan</t>
  </si>
  <si>
    <t>Chōsei</t>
  </si>
  <si>
    <t>pdf+web(0 property)</t>
  </si>
  <si>
    <t>Chōshi</t>
  </si>
  <si>
    <t>Funabashi</t>
  </si>
  <si>
    <t>Futtsu</t>
  </si>
  <si>
    <t xml:space="preserve">table + web </t>
  </si>
  <si>
    <t>Ichihara</t>
  </si>
  <si>
    <t xml:space="preserve">pdf </t>
  </si>
  <si>
    <t>Ichikawa</t>
  </si>
  <si>
    <t>Ichinomiya</t>
  </si>
  <si>
    <t>Inzai</t>
  </si>
  <si>
    <t>no data found</t>
  </si>
  <si>
    <t>Isumi</t>
  </si>
  <si>
    <t>Kamagaya</t>
  </si>
  <si>
    <t>Kamogawa</t>
  </si>
  <si>
    <t>Kashiwa</t>
  </si>
  <si>
    <t>Katori</t>
  </si>
  <si>
    <t>not found</t>
  </si>
  <si>
    <t>Katsuura</t>
  </si>
  <si>
    <t>web+table</t>
  </si>
  <si>
    <t>Kimitsu</t>
  </si>
  <si>
    <t>Kisarazu</t>
  </si>
  <si>
    <t>Kujūkuri</t>
  </si>
  <si>
    <t>Kyonan</t>
  </si>
  <si>
    <t>Kōzaki</t>
  </si>
  <si>
    <t>no property</t>
  </si>
  <si>
    <t>Matsudo</t>
  </si>
  <si>
    <t>Minamibōsō</t>
  </si>
  <si>
    <t>(page not found)</t>
  </si>
  <si>
    <t>Mobara</t>
  </si>
  <si>
    <t>Mutsuzawa</t>
  </si>
  <si>
    <t>Nagara</t>
  </si>
  <si>
    <t>table</t>
  </si>
  <si>
    <t>Nagareyama</t>
  </si>
  <si>
    <t>Narashino</t>
  </si>
  <si>
    <t>Narita</t>
  </si>
  <si>
    <t>Noda</t>
  </si>
  <si>
    <t>Oamishirasato</t>
  </si>
  <si>
    <t>Onjuku</t>
  </si>
  <si>
    <t>Ryūshima</t>
  </si>
  <si>
    <t>Sakae</t>
  </si>
  <si>
    <t>Sakura</t>
  </si>
  <si>
    <t>Sanmu</t>
  </si>
  <si>
    <t>Complex</t>
  </si>
  <si>
    <t>table + pdf</t>
  </si>
  <si>
    <t>Shibayama</t>
  </si>
  <si>
    <t>Shirako</t>
  </si>
  <si>
    <t>Shiroi</t>
  </si>
  <si>
    <t>Shisui</t>
  </si>
  <si>
    <t>Sodegaura</t>
  </si>
  <si>
    <t>Sōsa</t>
  </si>
  <si>
    <t>Tako</t>
  </si>
  <si>
    <t>table (data not avilabel)</t>
  </si>
  <si>
    <t>Tateyama</t>
  </si>
  <si>
    <t>present</t>
  </si>
  <si>
    <t>Tomisato</t>
  </si>
  <si>
    <t>Tōgane</t>
  </si>
  <si>
    <t>Tōnoshō</t>
  </si>
  <si>
    <t>Urayasu</t>
  </si>
  <si>
    <t>Yachimata</t>
  </si>
  <si>
    <t>Yachiyo</t>
  </si>
  <si>
    <t>Yokoshibahikari</t>
  </si>
  <si>
    <t>Yotsukaidō</t>
  </si>
  <si>
    <t>Ōtaki</t>
  </si>
  <si>
    <t>Nagano</t>
  </si>
  <si>
    <t>Link to get Nagano Municipalities websites</t>
  </si>
  <si>
    <t>https://www.kurunavi.jp/en/municipality/20.html</t>
  </si>
  <si>
    <t>Achi</t>
  </si>
  <si>
    <t>Agematsu</t>
  </si>
  <si>
    <t>PDF</t>
  </si>
  <si>
    <t>p</t>
  </si>
  <si>
    <t>Anan</t>
  </si>
  <si>
    <t>Linking to private</t>
  </si>
  <si>
    <t>Aoki</t>
  </si>
  <si>
    <t>Azumino</t>
  </si>
  <si>
    <t>t</t>
  </si>
  <si>
    <t>Giovanni</t>
  </si>
  <si>
    <t>Chikuhoku</t>
  </si>
  <si>
    <t>Chikuma</t>
  </si>
  <si>
    <t>Chino</t>
  </si>
  <si>
    <t>Fujimi</t>
  </si>
  <si>
    <t>Hakuba</t>
  </si>
  <si>
    <t>Hara</t>
  </si>
  <si>
    <t>Hiraya</t>
  </si>
  <si>
    <t>Iida</t>
  </si>
  <si>
    <t>Iijima</t>
  </si>
  <si>
    <t>Iiyama</t>
  </si>
  <si>
    <t>pt</t>
  </si>
  <si>
    <t>Iizuna</t>
  </si>
  <si>
    <t>Ikusaka</t>
  </si>
  <si>
    <t>Ina</t>
  </si>
  <si>
    <t>Karuizawa</t>
  </si>
  <si>
    <t>Kawakami</t>
  </si>
  <si>
    <t>Kijimadaira</t>
  </si>
  <si>
    <t>Kiso Town</t>
  </si>
  <si>
    <t>Kiso Village</t>
  </si>
  <si>
    <t>Table data</t>
  </si>
  <si>
    <t>Kitaaiki</t>
  </si>
  <si>
    <t>Komagane</t>
  </si>
  <si>
    <t>Komoro</t>
  </si>
  <si>
    <t>Koumi</t>
  </si>
  <si>
    <t>Matsukawa Town</t>
  </si>
  <si>
    <t>Matsukawa Village</t>
  </si>
  <si>
    <t>Not Found</t>
  </si>
  <si>
    <t>Matsumoto</t>
  </si>
  <si>
    <t>Minamiaiki</t>
  </si>
  <si>
    <t>Minamimaki</t>
  </si>
  <si>
    <t>No link</t>
  </si>
  <si>
    <t>Minamiminowa</t>
  </si>
  <si>
    <t>Minowa</t>
  </si>
  <si>
    <t>Yes</t>
  </si>
  <si>
    <t>Miyada</t>
  </si>
  <si>
    <t>Miyota</t>
  </si>
  <si>
    <t>Nagawa</t>
  </si>
  <si>
    <t>Nagiso</t>
  </si>
  <si>
    <t>------------------------------------------------------------------------------</t>
  </si>
  <si>
    <t>Neba</t>
  </si>
  <si>
    <t>Nozawaonsen</t>
  </si>
  <si>
    <t>Obuse</t>
  </si>
  <si>
    <t>Linking to Private</t>
  </si>
  <si>
    <t>Ogawa</t>
  </si>
  <si>
    <t>t nope</t>
  </si>
  <si>
    <t>Okaya</t>
  </si>
  <si>
    <t>roh</t>
  </si>
  <si>
    <t>Omi</t>
  </si>
  <si>
    <t>401 Unauthorized</t>
  </si>
  <si>
    <t>Otari</t>
  </si>
  <si>
    <t>Sakaki</t>
  </si>
  <si>
    <t>Saku</t>
  </si>
  <si>
    <t xml:space="preserve">Table Data </t>
  </si>
  <si>
    <t>Sakuho</t>
  </si>
  <si>
    <t>Shimojō</t>
  </si>
  <si>
    <t>Shimosuwa</t>
  </si>
  <si>
    <t>Shinano</t>
  </si>
  <si>
    <t>Shiojiri</t>
  </si>
  <si>
    <t>rohit</t>
  </si>
  <si>
    <t>Suwa</t>
  </si>
  <si>
    <t>Suzaka</t>
  </si>
  <si>
    <t>Takagi</t>
  </si>
  <si>
    <t>Takamori</t>
  </si>
  <si>
    <t>Linking to Several sites</t>
  </si>
  <si>
    <t>Takayama</t>
  </si>
  <si>
    <t>Tateshina</t>
  </si>
  <si>
    <t>Tatsuno</t>
  </si>
  <si>
    <t>Tenryū</t>
  </si>
  <si>
    <t>Toyooka</t>
  </si>
  <si>
    <t>Tōmi</t>
  </si>
  <si>
    <t>Ueda</t>
  </si>
  <si>
    <t>Urugi</t>
  </si>
  <si>
    <t>Yamagata</t>
  </si>
  <si>
    <t>Yamanouchi</t>
  </si>
  <si>
    <t>Yasuoka</t>
  </si>
  <si>
    <t>Ōkuwa</t>
  </si>
  <si>
    <t>It is updated!</t>
  </si>
  <si>
    <t>Ōmachi</t>
  </si>
  <si>
    <t>Ōshika</t>
  </si>
  <si>
    <t>HTML</t>
  </si>
  <si>
    <t xml:space="preserve">Shizuoka </t>
  </si>
  <si>
    <t>Atami</t>
  </si>
  <si>
    <t>No Property</t>
  </si>
  <si>
    <t>Fuji</t>
  </si>
  <si>
    <t>Fujieda</t>
  </si>
  <si>
    <t>Fujinomiya</t>
  </si>
  <si>
    <t>Fukuroi</t>
  </si>
  <si>
    <t>Gotemba</t>
  </si>
  <si>
    <t>Hamamatsu</t>
  </si>
  <si>
    <t>Higashiizu</t>
  </si>
  <si>
    <t>Itō</t>
  </si>
  <si>
    <t>Iwata</t>
  </si>
  <si>
    <t>Izu</t>
  </si>
  <si>
    <t>Bad Format</t>
  </si>
  <si>
    <t>Izunokuni</t>
  </si>
  <si>
    <t>Kakegawa</t>
  </si>
  <si>
    <t>Kannami</t>
  </si>
  <si>
    <t>Kawanehon</t>
  </si>
  <si>
    <t>Kawazu</t>
  </si>
  <si>
    <t>Kikugawa</t>
  </si>
  <si>
    <t>Kosai</t>
  </si>
  <si>
    <t>Makinohara</t>
  </si>
  <si>
    <t>Matsuzaki</t>
  </si>
  <si>
    <t>Minamiizu</t>
  </si>
  <si>
    <t>Mori</t>
  </si>
  <si>
    <t>Nagaizumi</t>
  </si>
  <si>
    <t>Nishiizu</t>
  </si>
  <si>
    <t>Numazu</t>
  </si>
  <si>
    <t>Omaezaki</t>
  </si>
  <si>
    <t>Oyama</t>
  </si>
  <si>
    <t>NO</t>
  </si>
  <si>
    <t>Shimizu</t>
  </si>
  <si>
    <t>Shimoda</t>
  </si>
  <si>
    <t>Shizuoka</t>
  </si>
  <si>
    <t>Susono</t>
  </si>
  <si>
    <t>Yaizu</t>
  </si>
  <si>
    <t>Yoshida</t>
  </si>
  <si>
    <t>Mishima</t>
  </si>
  <si>
    <t>Shimada</t>
  </si>
  <si>
    <t>Higashimatsushima</t>
  </si>
  <si>
    <t>Ishinomaki</t>
  </si>
  <si>
    <t>No</t>
  </si>
  <si>
    <t>Iwanuma</t>
  </si>
  <si>
    <t>Kakuda</t>
  </si>
  <si>
    <t>Kami</t>
  </si>
  <si>
    <t>Link to Miyagi Prefecture</t>
  </si>
  <si>
    <t>Kesennuma</t>
  </si>
  <si>
    <t>Pdf+Table</t>
  </si>
  <si>
    <t>Kurihara</t>
  </si>
  <si>
    <t>Marumori</t>
  </si>
  <si>
    <t>Matsushima</t>
  </si>
  <si>
    <t>Minamisanriku</t>
  </si>
  <si>
    <t>Misato</t>
  </si>
  <si>
    <t>Murata</t>
  </si>
  <si>
    <t>Natori</t>
  </si>
  <si>
    <t>Onagawa</t>
  </si>
  <si>
    <t>Rifu</t>
  </si>
  <si>
    <t>Sendai</t>
  </si>
  <si>
    <t>Shibata</t>
  </si>
  <si>
    <t>Shichigahama</t>
  </si>
  <si>
    <t>Shichikashuku</t>
  </si>
  <si>
    <t>Shikama</t>
  </si>
  <si>
    <t>Shiogama</t>
  </si>
  <si>
    <t>Shiroishi</t>
  </si>
  <si>
    <t>Tagajō</t>
  </si>
  <si>
    <t>Taiwa</t>
  </si>
  <si>
    <t>Tome</t>
  </si>
  <si>
    <t>Tomiya</t>
  </si>
  <si>
    <t>Wakuya</t>
  </si>
  <si>
    <t>Watari</t>
  </si>
  <si>
    <t>Yamamoto</t>
  </si>
  <si>
    <t>pdf+Table</t>
  </si>
  <si>
    <t>Zaō</t>
  </si>
  <si>
    <t>Ōgawara</t>
  </si>
  <si>
    <t>Ōhira</t>
  </si>
  <si>
    <t>Ōsaki</t>
  </si>
  <si>
    <t>Ōsato</t>
  </si>
  <si>
    <t>Pdf+Table for vacant land and no property for vacant house</t>
  </si>
  <si>
    <t>Mie</t>
  </si>
  <si>
    <t>Iga</t>
  </si>
  <si>
    <t>ok?</t>
  </si>
  <si>
    <t>Inabe</t>
  </si>
  <si>
    <t>done</t>
  </si>
  <si>
    <t>Ise</t>
  </si>
  <si>
    <t>done-</t>
  </si>
  <si>
    <t>Kameyama</t>
  </si>
  <si>
    <t>done?</t>
  </si>
  <si>
    <t>Kawagoe</t>
  </si>
  <si>
    <t>No property</t>
  </si>
  <si>
    <t>Kihoku</t>
  </si>
  <si>
    <t>not enough data</t>
  </si>
  <si>
    <t>Kihō</t>
  </si>
  <si>
    <t>Kisosaki</t>
  </si>
  <si>
    <t>Komono</t>
  </si>
  <si>
    <t>uneven data</t>
  </si>
  <si>
    <t>Kuwana</t>
  </si>
  <si>
    <t>Matsusaka</t>
  </si>
  <si>
    <t>Meiwa</t>
  </si>
  <si>
    <t>Mihama</t>
  </si>
  <si>
    <t>Minamiise</t>
  </si>
  <si>
    <t>Nabari</t>
  </si>
  <si>
    <t>Owase</t>
  </si>
  <si>
    <t>Shima</t>
  </si>
  <si>
    <t>request time impossible</t>
  </si>
  <si>
    <t>Suzuka</t>
  </si>
  <si>
    <t>Link to Mie's Prefecture</t>
  </si>
  <si>
    <t>Taiki</t>
  </si>
  <si>
    <t>Taki</t>
  </si>
  <si>
    <t>Tamaki</t>
  </si>
  <si>
    <t>Toba</t>
  </si>
  <si>
    <t>Tsu</t>
  </si>
  <si>
    <t>bad structure</t>
  </si>
  <si>
    <t>Tōin</t>
  </si>
  <si>
    <t>Watarai</t>
  </si>
  <si>
    <t>Yokkaichi</t>
  </si>
  <si>
    <t>ok</t>
  </si>
  <si>
    <t>Ōdai</t>
  </si>
  <si>
    <t>Niigata</t>
  </si>
  <si>
    <t>Aga</t>
  </si>
  <si>
    <t>Agano</t>
  </si>
  <si>
    <t>Awashimaura</t>
  </si>
  <si>
    <t>Gosen</t>
  </si>
  <si>
    <t>Itoigawa</t>
  </si>
  <si>
    <t>Izumozaki</t>
  </si>
  <si>
    <t>Jōetsu</t>
  </si>
  <si>
    <t>Kamo</t>
  </si>
  <si>
    <t>Kariwa</t>
  </si>
  <si>
    <t>Kashiwazaki</t>
  </si>
  <si>
    <t>Minami-Uonuma</t>
  </si>
  <si>
    <t>Mitsuke</t>
  </si>
  <si>
    <t>Murakami</t>
  </si>
  <si>
    <t>Myōkō</t>
  </si>
  <si>
    <t>Nagaoka</t>
  </si>
  <si>
    <t>Ojiya</t>
  </si>
  <si>
    <t>Sado</t>
  </si>
  <si>
    <t>Sanjō</t>
  </si>
  <si>
    <t>Seirō</t>
  </si>
  <si>
    <t>Sekikawa</t>
  </si>
  <si>
    <t>Tagami</t>
  </si>
  <si>
    <t>Tainai</t>
  </si>
  <si>
    <t>Tsubame</t>
  </si>
  <si>
    <t>Tsunan</t>
  </si>
  <si>
    <t>Tōkamachi</t>
  </si>
  <si>
    <t>Uonuma</t>
  </si>
  <si>
    <t>Yahiko</t>
  </si>
  <si>
    <t>Yuzawa</t>
  </si>
  <si>
    <t>Akita</t>
  </si>
  <si>
    <t>Daisen</t>
  </si>
  <si>
    <t>Fujisato</t>
  </si>
  <si>
    <t>Gojōme</t>
  </si>
  <si>
    <t>Hachirōgata</t>
  </si>
  <si>
    <t>No page with the properties</t>
  </si>
  <si>
    <t>Happō</t>
  </si>
  <si>
    <t>Higashinaruse</t>
  </si>
  <si>
    <t>Ikawa</t>
  </si>
  <si>
    <t>Kamikoani</t>
  </si>
  <si>
    <t>Katagami</t>
  </si>
  <si>
    <t>Kazuno</t>
  </si>
  <si>
    <t>Kitaakita</t>
  </si>
  <si>
    <t>Kosaka</t>
  </si>
  <si>
    <t>Mitane</t>
  </si>
  <si>
    <t>Nikaho</t>
  </si>
  <si>
    <t>Noshiro</t>
  </si>
  <si>
    <t>Oga</t>
  </si>
  <si>
    <t>Semboku</t>
  </si>
  <si>
    <t>Ugo</t>
  </si>
  <si>
    <t>Yokote</t>
  </si>
  <si>
    <t>Yurihonjō</t>
  </si>
  <si>
    <t>Ōdate</t>
  </si>
  <si>
    <t>Ōgata</t>
  </si>
  <si>
    <t xml:space="preserve"> </t>
  </si>
  <si>
    <t>MIYAZAKI</t>
  </si>
  <si>
    <t>Aya</t>
  </si>
  <si>
    <t>Ebino</t>
  </si>
  <si>
    <t>Gokase</t>
  </si>
  <si>
    <t>Hinokage</t>
  </si>
  <si>
    <t>Hyuga</t>
  </si>
  <si>
    <t>Kadogawa</t>
  </si>
  <si>
    <t>All properties already sold</t>
  </si>
  <si>
    <t>Kawaminami</t>
  </si>
  <si>
    <t>Kijō</t>
  </si>
  <si>
    <t>Kobayashi</t>
  </si>
  <si>
    <t>Kunitomi</t>
  </si>
  <si>
    <t>Kushima</t>
  </si>
  <si>
    <t>Mimata</t>
  </si>
  <si>
    <t>Pdf + Table</t>
  </si>
  <si>
    <t>Too Dynamic</t>
  </si>
  <si>
    <t>Miyakonojō</t>
  </si>
  <si>
    <t>Miyazaki</t>
  </si>
  <si>
    <t>Link to Miyazaki Prefrecture : Miyazaki City</t>
  </si>
  <si>
    <t>Morotsuka</t>
  </si>
  <si>
    <t>Nichinan</t>
  </si>
  <si>
    <t>Nishimera</t>
  </si>
  <si>
    <t>Nobeoka</t>
  </si>
  <si>
    <t>404 Not found</t>
  </si>
  <si>
    <t>Saito</t>
  </si>
  <si>
    <t>Shiiba</t>
  </si>
  <si>
    <t>Shintomi</t>
  </si>
  <si>
    <t>Takachiho</t>
  </si>
  <si>
    <t>Not enough data</t>
  </si>
  <si>
    <t>Takaharu</t>
  </si>
  <si>
    <t>Takanabe</t>
  </si>
  <si>
    <t>Tsuno</t>
  </si>
  <si>
    <t>SAITAMA</t>
  </si>
  <si>
    <t>Ageo</t>
  </si>
  <si>
    <t>Asaka</t>
  </si>
  <si>
    <t>Chichibu</t>
  </si>
  <si>
    <t>Fujimino</t>
  </si>
  <si>
    <t>Fukaya</t>
  </si>
  <si>
    <t>Gyōda</t>
  </si>
  <si>
    <t>Hannō</t>
  </si>
  <si>
    <t>Hanyū</t>
  </si>
  <si>
    <t>Hasuda</t>
  </si>
  <si>
    <t>Already Sold</t>
  </si>
  <si>
    <t>Hatoyama</t>
  </si>
  <si>
    <t>Hidaka</t>
  </si>
  <si>
    <t>Higashichichibu</t>
  </si>
  <si>
    <t>Higashimatsuyama</t>
  </si>
  <si>
    <t>Honjō</t>
  </si>
  <si>
    <t>Iruma</t>
  </si>
  <si>
    <t>Kamikawa</t>
  </si>
  <si>
    <t>Kamisato</t>
  </si>
  <si>
    <t>Kasukabe</t>
  </si>
  <si>
    <t xml:space="preserve">No </t>
  </si>
  <si>
    <t xml:space="preserve">Yes </t>
  </si>
  <si>
    <t>Kawaguchi</t>
  </si>
  <si>
    <t>Kawajima</t>
  </si>
  <si>
    <t>Kazo</t>
  </si>
  <si>
    <t>Kitamoto</t>
  </si>
  <si>
    <t>404 Page not found</t>
  </si>
  <si>
    <t>Koshigaya</t>
  </si>
  <si>
    <t>Kuki</t>
  </si>
  <si>
    <t>Kumagaya</t>
  </si>
  <si>
    <t>Kōnosu</t>
  </si>
  <si>
    <t>Matsubushi</t>
  </si>
  <si>
    <t>Minano</t>
  </si>
  <si>
    <t>Miyashiro</t>
  </si>
  <si>
    <t>Moroyama</t>
  </si>
  <si>
    <t>Nagatoro</t>
  </si>
  <si>
    <t>403 Forbidden access</t>
  </si>
  <si>
    <t>Namegawa</t>
  </si>
  <si>
    <t>Niiza</t>
  </si>
  <si>
    <t>Ogano</t>
  </si>
  <si>
    <t>Ogose</t>
  </si>
  <si>
    <t>Okegawa</t>
  </si>
  <si>
    <t>Ranzan</t>
  </si>
  <si>
    <t>Saitama</t>
  </si>
  <si>
    <t>Sakado</t>
  </si>
  <si>
    <t>Satte</t>
  </si>
  <si>
    <t>Sayama</t>
  </si>
  <si>
    <t>Shiki</t>
  </si>
  <si>
    <t>Shiraoka</t>
  </si>
  <si>
    <t>Sugito</t>
  </si>
  <si>
    <t>Sōka</t>
  </si>
  <si>
    <t>Toda</t>
  </si>
  <si>
    <t>Tokigawa</t>
  </si>
  <si>
    <t>Tokorozawa</t>
  </si>
  <si>
    <t>Tsurugashima</t>
  </si>
  <si>
    <t>Wakō</t>
  </si>
  <si>
    <t>Warabi</t>
  </si>
  <si>
    <t>Yashio</t>
  </si>
  <si>
    <t>Yokoze</t>
  </si>
  <si>
    <t>Yorii</t>
  </si>
  <si>
    <t>Yoshikawa</t>
  </si>
  <si>
    <t>Yoshimi</t>
  </si>
  <si>
    <t>Hyogo</t>
  </si>
  <si>
    <t>Aioi</t>
  </si>
  <si>
    <t>Images</t>
  </si>
  <si>
    <t>Akashi</t>
  </si>
  <si>
    <t>Not found</t>
  </si>
  <si>
    <t>Akō</t>
  </si>
  <si>
    <t>One page with all properties there</t>
  </si>
  <si>
    <t>Amagasaki</t>
  </si>
  <si>
    <t>Asago</t>
  </si>
  <si>
    <t>Awaji</t>
  </si>
  <si>
    <t>Fukusaki</t>
  </si>
  <si>
    <t>Pdf : No images in the pdf file</t>
  </si>
  <si>
    <t>Harima</t>
  </si>
  <si>
    <t>Himeji</t>
  </si>
  <si>
    <t>Inagawa</t>
  </si>
  <si>
    <t>PDF + Table</t>
  </si>
  <si>
    <t>Inami</t>
  </si>
  <si>
    <t>Itami</t>
  </si>
  <si>
    <t>Kakogawa</t>
  </si>
  <si>
    <t xml:space="preserve">PDF </t>
  </si>
  <si>
    <t>Kamigōri</t>
  </si>
  <si>
    <t>Kasai</t>
  </si>
  <si>
    <t>Katō</t>
  </si>
  <si>
    <t>Kawanishi</t>
  </si>
  <si>
    <t>Kobe</t>
  </si>
  <si>
    <t>Miki</t>
  </si>
  <si>
    <t>Minamiawaji</t>
  </si>
  <si>
    <t>Nishinomiya</t>
  </si>
  <si>
    <t>Nishiwaki</t>
  </si>
  <si>
    <t>Ono</t>
  </si>
  <si>
    <t>Sanda</t>
  </si>
  <si>
    <t>Sasayama</t>
  </si>
  <si>
    <t>Sayō</t>
  </si>
  <si>
    <t>Shin'onsen</t>
  </si>
  <si>
    <t>Shisō</t>
  </si>
  <si>
    <t>Sumoto</t>
  </si>
  <si>
    <t>Taka</t>
  </si>
  <si>
    <t>Takarazuka</t>
  </si>
  <si>
    <t>linking to private</t>
  </si>
  <si>
    <t>Takasago</t>
  </si>
  <si>
    <t>Tamba</t>
  </si>
  <si>
    <t>Yabu</t>
  </si>
  <si>
    <t>done = 26</t>
  </si>
  <si>
    <t>in process = 0</t>
  </si>
  <si>
    <t>pdf + table = 4</t>
  </si>
  <si>
    <t>table to complete = 0</t>
  </si>
  <si>
    <t>pdf to complete=0</t>
  </si>
  <si>
    <t>no detail page = 3</t>
  </si>
  <si>
    <t>invalid = 8</t>
  </si>
  <si>
    <t>Tochigi</t>
  </si>
  <si>
    <t>Ashikaga</t>
  </si>
  <si>
    <t>Haga</t>
  </si>
  <si>
    <t>Ichikai</t>
  </si>
  <si>
    <t>yes</t>
  </si>
  <si>
    <t>Kaminokawa</t>
  </si>
  <si>
    <t>File not found</t>
  </si>
  <si>
    <t>Kanuma</t>
  </si>
  <si>
    <t>Mashiko</t>
  </si>
  <si>
    <t>Mibu</t>
  </si>
  <si>
    <t>Mooka</t>
  </si>
  <si>
    <t>Motegi</t>
  </si>
  <si>
    <t>Nasu</t>
  </si>
  <si>
    <t>Nasukarasuyama</t>
  </si>
  <si>
    <t>Nasushiobara</t>
  </si>
  <si>
    <t>Nikko</t>
  </si>
  <si>
    <t>Nogi</t>
  </si>
  <si>
    <t>Page no found</t>
  </si>
  <si>
    <t>Sano</t>
  </si>
  <si>
    <t>Shimotsuke</t>
  </si>
  <si>
    <t>Shioya</t>
  </si>
  <si>
    <t>second level of pdf</t>
  </si>
  <si>
    <t>Takanezawa</t>
  </si>
  <si>
    <t>Utsunomiya</t>
  </si>
  <si>
    <t>Yaita</t>
  </si>
  <si>
    <t>Otawara</t>
  </si>
  <si>
    <t>Gifu</t>
  </si>
  <si>
    <t>Anpachi</t>
  </si>
  <si>
    <t>Ena</t>
  </si>
  <si>
    <t>Gero</t>
  </si>
  <si>
    <t>Ginan</t>
  </si>
  <si>
    <t>Gujō</t>
  </si>
  <si>
    <t>Gōdo</t>
  </si>
  <si>
    <t>Hashima</t>
  </si>
  <si>
    <t>Hichisō</t>
  </si>
  <si>
    <t>Hida</t>
  </si>
  <si>
    <t>Higashishirakawa</t>
  </si>
  <si>
    <t>Ibigawa</t>
  </si>
  <si>
    <t>Kaizu</t>
  </si>
  <si>
    <t>Kakamigahara</t>
  </si>
  <si>
    <t>Kani</t>
  </si>
  <si>
    <t>Kasamatsu</t>
  </si>
  <si>
    <t>Kawabe</t>
  </si>
  <si>
    <t>Kitagata</t>
  </si>
  <si>
    <t>Mino</t>
  </si>
  <si>
    <t>Minokamo</t>
  </si>
  <si>
    <t>Mitake</t>
  </si>
  <si>
    <t>Mizunami</t>
  </si>
  <si>
    <t>Motosu</t>
  </si>
  <si>
    <t>Nakatsugawa</t>
  </si>
  <si>
    <t>Sakahogi</t>
  </si>
  <si>
    <t>Seki</t>
  </si>
  <si>
    <t>Sekigahara</t>
  </si>
  <si>
    <t>Shirakawa Town</t>
  </si>
  <si>
    <t>Shirakawa Village</t>
  </si>
  <si>
    <t>Tajimi</t>
  </si>
  <si>
    <t>Tarui</t>
  </si>
  <si>
    <t>Toki</t>
  </si>
  <si>
    <t>Tomika</t>
  </si>
  <si>
    <t>Wanouchi</t>
  </si>
  <si>
    <t>Yaotsu</t>
  </si>
  <si>
    <t>Yōrō</t>
  </si>
  <si>
    <t>Ōgaki</t>
  </si>
  <si>
    <t>Ōno</t>
  </si>
  <si>
    <t>Fukushima</t>
  </si>
  <si>
    <t>Shirakawa City</t>
  </si>
  <si>
    <t>Tamakawa Village</t>
  </si>
  <si>
    <t>Yabuki Town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</si>
</sst>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 yyyy"/>
    <numFmt numFmtId="165" formatCode="mmmm yyyy"/>
    <numFmt numFmtId="166" formatCode="mmmyyyy"/>
    <numFmt numFmtId="167" formatCode="mmmd"/>
  </numFmts>
  <fonts count="40">
    <font>
      <sz val="10.0"/>
      <color rgb="FF000000"/>
      <name val="Arial"/>
      <scheme val="minor"/>
    </font>
    <font>
      <color theme="1"/>
      <name val="Arial"/>
      <scheme val="minor"/>
    </font>
    <font>
      <b/>
      <sz val="13.0"/>
      <color theme="1"/>
      <name val="Arial"/>
      <scheme val="minor"/>
    </font>
    <font>
      <sz val="11.0"/>
      <color theme="1"/>
      <name val="Arial"/>
      <scheme val="minor"/>
    </font>
    <font>
      <b/>
      <sz val="11.0"/>
      <color theme="1"/>
      <name val="Arial"/>
      <scheme val="minor"/>
    </font>
    <font>
      <sz val="11.0"/>
      <color theme="1"/>
      <name val="Arial"/>
    </font>
    <font>
      <u/>
      <sz val="11.0"/>
      <color rgb="FF0000FF"/>
    </font>
    <font>
      <u/>
      <sz val="11.0"/>
      <color rgb="FF0000FF"/>
    </font>
    <font>
      <sz val="11.0"/>
      <color rgb="FF000000"/>
      <name val="Arial"/>
      <scheme val="minor"/>
    </font>
    <font>
      <sz val="11.0"/>
      <color rgb="FF000000"/>
      <name val="Arial"/>
    </font>
    <font>
      <u/>
      <sz val="11.0"/>
      <color rgb="FF0000FF"/>
    </font>
    <font>
      <u/>
      <sz val="11.0"/>
      <color rgb="FF0000FF"/>
    </font>
    <font>
      <u/>
      <sz val="11.0"/>
      <color rgb="FF0000FF"/>
    </font>
    <font>
      <sz val="11.0"/>
      <color rgb="FF000000"/>
    </font>
    <font>
      <u/>
      <sz val="11.0"/>
      <color rgb="FF0000FF"/>
    </font>
    <font>
      <u/>
      <color rgb="FF0000FF"/>
    </font>
    <font>
      <u/>
      <color rgb="FF0000FF"/>
    </font>
    <font>
      <u/>
      <color rgb="FF0000FF"/>
    </font>
    <font>
      <u/>
      <color rgb="FF0000FF"/>
    </font>
    <font>
      <u/>
      <sz val="11.0"/>
      <color rgb="FF0000FF"/>
    </font>
    <font>
      <u/>
      <sz val="11.0"/>
      <color rgb="FF0000FF"/>
    </font>
    <font>
      <u/>
      <sz val="11.0"/>
      <color rgb="FF0000FF"/>
    </font>
    <font>
      <sz val="11.0"/>
      <color rgb="FF333333"/>
      <name val="Roboto"/>
    </font>
    <font>
      <u/>
      <sz val="11.0"/>
      <color rgb="FF0000FF"/>
    </font>
    <font>
      <b/>
      <color theme="1"/>
      <name val="Arial"/>
      <scheme val="minor"/>
    </font>
    <font>
      <u/>
      <color rgb="FF0000FF"/>
    </font>
    <font>
      <b/>
      <sz val="11.0"/>
      <color theme="1"/>
      <name val="Arial"/>
    </font>
    <font>
      <u/>
      <color rgb="FF0000FF"/>
    </font>
    <font>
      <u/>
      <color rgb="FF0000FF"/>
    </font>
    <font>
      <u/>
      <color rgb="FF0000FF"/>
    </font>
    <font>
      <color theme="1"/>
      <name val="Arial"/>
    </font>
    <font>
      <u/>
      <color rgb="FF1155CC"/>
      <name val="Arial"/>
    </font>
    <font>
      <u/>
      <color rgb="FF0000FF"/>
    </font>
    <font>
      <u/>
      <color rgb="FF0000FF"/>
    </font>
    <font>
      <u/>
      <color rgb="FF0000FF"/>
    </font>
    <font>
      <u/>
      <color rgb="FF0000FF"/>
    </font>
    <font>
      <u/>
      <color rgb="FF0000FF"/>
    </font>
    <font>
      <u/>
      <color rgb="FF0000FF"/>
    </font>
    <font>
      <color rgb="FF0E0E0E"/>
      <name val="Arial"/>
      <scheme val="minor"/>
    </font>
    <font>
      <u/>
      <color rgb="FF0000FF"/>
    </font>
  </fonts>
  <fills count="13">
    <fill>
      <patternFill patternType="none"/>
    </fill>
    <fill>
      <patternFill patternType="lightGray"/>
    </fill>
    <fill>
      <patternFill patternType="solid">
        <fgColor rgb="FFFFFFFF"/>
        <bgColor rgb="FFFFFFFF"/>
      </patternFill>
    </fill>
    <fill>
      <patternFill patternType="solid">
        <fgColor rgb="FFD9EAD3"/>
        <bgColor rgb="FFD9EAD3"/>
      </patternFill>
    </fill>
    <fill>
      <patternFill patternType="solid">
        <fgColor rgb="FFEAD1DC"/>
        <bgColor rgb="FFEAD1DC"/>
      </patternFill>
    </fill>
    <fill>
      <patternFill patternType="solid">
        <fgColor rgb="FFFFF2CC"/>
        <bgColor rgb="FFFFF2CC"/>
      </patternFill>
    </fill>
    <fill>
      <patternFill patternType="solid">
        <fgColor rgb="FFE6B8AF"/>
        <bgColor rgb="FFE6B8AF"/>
      </patternFill>
    </fill>
    <fill>
      <patternFill patternType="solid">
        <fgColor rgb="FF6FA8DC"/>
        <bgColor rgb="FF6FA8DC"/>
      </patternFill>
    </fill>
    <fill>
      <patternFill patternType="solid">
        <fgColor theme="0"/>
        <bgColor theme="0"/>
      </patternFill>
    </fill>
    <fill>
      <patternFill patternType="solid">
        <fgColor theme="4"/>
        <bgColor theme="4"/>
      </patternFill>
    </fill>
    <fill>
      <patternFill patternType="solid">
        <fgColor theme="7"/>
        <bgColor theme="7"/>
      </patternFill>
    </fill>
    <fill>
      <patternFill patternType="solid">
        <fgColor theme="8"/>
        <bgColor theme="8"/>
      </patternFill>
    </fill>
    <fill>
      <patternFill patternType="solid">
        <fgColor theme="5"/>
        <bgColor theme="5"/>
      </patternFill>
    </fill>
  </fills>
  <borders count="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0" fontId="3" numFmtId="0" xfId="0" applyAlignment="1" applyBorder="1" applyFont="1">
      <alignment readingOrder="0"/>
    </xf>
    <xf borderId="1" fillId="0" fontId="4" numFmtId="0" xfId="0" applyAlignment="1" applyBorder="1" applyFont="1">
      <alignment readingOrder="0"/>
    </xf>
    <xf borderId="1" fillId="0" fontId="3" numFmtId="164" xfId="0" applyAlignment="1" applyBorder="1" applyFont="1" applyNumberFormat="1">
      <alignment readingOrder="0"/>
    </xf>
    <xf borderId="1" fillId="0" fontId="3" numFmtId="165" xfId="0" applyAlignment="1" applyBorder="1" applyFont="1" applyNumberFormat="1">
      <alignment readingOrder="0"/>
    </xf>
    <xf borderId="1" fillId="0" fontId="5" numFmtId="165" xfId="0" applyAlignment="1" applyBorder="1" applyFont="1" applyNumberFormat="1">
      <alignment horizontal="right" vertical="bottom"/>
    </xf>
    <xf borderId="2" fillId="0" fontId="5" numFmtId="165" xfId="0" applyAlignment="1" applyBorder="1" applyFont="1" applyNumberFormat="1">
      <alignment horizontal="right" vertical="bottom"/>
    </xf>
    <xf borderId="1" fillId="0" fontId="3" numFmtId="166" xfId="0" applyAlignment="1" applyBorder="1" applyFont="1" applyNumberFormat="1">
      <alignment readingOrder="0"/>
    </xf>
    <xf borderId="1" fillId="0" fontId="1" numFmtId="0" xfId="0" applyBorder="1" applyFont="1"/>
    <xf borderId="1" fillId="0" fontId="3" numFmtId="0" xfId="0" applyBorder="1" applyFont="1"/>
    <xf borderId="1" fillId="0" fontId="6" numFmtId="0" xfId="0" applyAlignment="1" applyBorder="1" applyFont="1">
      <alignment readingOrder="0"/>
    </xf>
    <xf borderId="1" fillId="2" fontId="3" numFmtId="0" xfId="0" applyAlignment="1" applyBorder="1" applyFill="1" applyFont="1">
      <alignment readingOrder="0"/>
    </xf>
    <xf borderId="1" fillId="3" fontId="3" numFmtId="0" xfId="0" applyBorder="1" applyFill="1" applyFont="1"/>
    <xf borderId="1" fillId="0" fontId="7" numFmtId="0" xfId="0" applyAlignment="1" applyBorder="1" applyFont="1">
      <alignment readingOrder="0"/>
    </xf>
    <xf borderId="0" fillId="0" fontId="3" numFmtId="0" xfId="0" applyAlignment="1" applyFont="1">
      <alignment readingOrder="0"/>
    </xf>
    <xf borderId="0" fillId="0" fontId="3" numFmtId="0" xfId="0" applyFont="1"/>
    <xf borderId="0" fillId="2" fontId="3" numFmtId="0" xfId="0" applyAlignment="1" applyFont="1">
      <alignment readingOrder="0"/>
    </xf>
    <xf borderId="0" fillId="3" fontId="3" numFmtId="0" xfId="0" applyFont="1"/>
    <xf borderId="0" fillId="0" fontId="3" numFmtId="0" xfId="0" applyAlignment="1" applyFont="1">
      <alignment readingOrder="0"/>
    </xf>
    <xf borderId="0" fillId="0" fontId="8" numFmtId="0" xfId="0" applyAlignment="1" applyFont="1">
      <alignment readingOrder="0"/>
    </xf>
    <xf borderId="1" fillId="4" fontId="3" numFmtId="0" xfId="0" applyAlignment="1" applyBorder="1" applyFill="1" applyFont="1">
      <alignment readingOrder="0"/>
    </xf>
    <xf borderId="1" fillId="4" fontId="3" numFmtId="0" xfId="0" applyBorder="1" applyFont="1"/>
    <xf borderId="1" fillId="4" fontId="1" numFmtId="0" xfId="0" applyBorder="1" applyFont="1"/>
    <xf borderId="0" fillId="4" fontId="1" numFmtId="0" xfId="0" applyFont="1"/>
    <xf borderId="0" fillId="4" fontId="9" numFmtId="0" xfId="0" applyAlignment="1" applyFont="1">
      <alignment horizontal="left" readingOrder="0"/>
    </xf>
    <xf borderId="1" fillId="4" fontId="10" numFmtId="0" xfId="0" applyAlignment="1" applyBorder="1" applyFont="1">
      <alignment readingOrder="0"/>
    </xf>
    <xf borderId="0" fillId="4" fontId="3" numFmtId="0" xfId="0" applyAlignment="1" applyFont="1">
      <alignment readingOrder="0"/>
    </xf>
    <xf borderId="1" fillId="5" fontId="3" numFmtId="0" xfId="0" applyAlignment="1" applyBorder="1" applyFill="1" applyFont="1">
      <alignment readingOrder="0"/>
    </xf>
    <xf borderId="1" fillId="5" fontId="11" numFmtId="0" xfId="0" applyAlignment="1" applyBorder="1" applyFont="1">
      <alignment readingOrder="0"/>
    </xf>
    <xf borderId="1" fillId="5" fontId="3" numFmtId="0" xfId="0" applyBorder="1" applyFont="1"/>
    <xf borderId="1" fillId="5" fontId="1" numFmtId="0" xfId="0" applyBorder="1" applyFont="1"/>
    <xf borderId="0" fillId="5" fontId="1" numFmtId="0" xfId="0" applyFont="1"/>
    <xf borderId="1" fillId="6" fontId="3" numFmtId="0" xfId="0" applyAlignment="1" applyBorder="1" applyFill="1" applyFont="1">
      <alignment readingOrder="0"/>
    </xf>
    <xf borderId="1" fillId="6" fontId="12" numFmtId="0" xfId="0" applyAlignment="1" applyBorder="1" applyFont="1">
      <alignment readingOrder="0"/>
    </xf>
    <xf borderId="1" fillId="6" fontId="3" numFmtId="0" xfId="0" applyBorder="1" applyFont="1"/>
    <xf borderId="1" fillId="6" fontId="1" numFmtId="0" xfId="0" applyBorder="1" applyFont="1"/>
    <xf borderId="0" fillId="6" fontId="1" numFmtId="0" xfId="0" applyFont="1"/>
    <xf borderId="1" fillId="6" fontId="13" numFmtId="0" xfId="0" applyAlignment="1" applyBorder="1" applyFont="1">
      <alignment readingOrder="0"/>
    </xf>
    <xf borderId="0" fillId="0" fontId="1" numFmtId="0" xfId="0" applyFont="1"/>
    <xf borderId="0" fillId="3" fontId="1" numFmtId="0" xfId="0" applyAlignment="1" applyFont="1">
      <alignment readingOrder="0"/>
    </xf>
    <xf borderId="1" fillId="0" fontId="3" numFmtId="167" xfId="0" applyAlignment="1" applyBorder="1" applyFont="1" applyNumberFormat="1">
      <alignment readingOrder="0"/>
    </xf>
    <xf borderId="1" fillId="4" fontId="3" numFmtId="0" xfId="0" applyAlignment="1" applyBorder="1" applyFont="1">
      <alignment readingOrder="0"/>
    </xf>
    <xf borderId="1" fillId="5" fontId="14" numFmtId="0" xfId="0" applyBorder="1" applyFont="1"/>
    <xf borderId="0" fillId="3" fontId="3" numFmtId="0" xfId="0" applyAlignment="1" applyFont="1">
      <alignment readingOrder="0"/>
    </xf>
    <xf borderId="0" fillId="6" fontId="15" numFmtId="0" xfId="0" applyFont="1"/>
    <xf borderId="0" fillId="4" fontId="16" numFmtId="0" xfId="0" applyFont="1"/>
    <xf borderId="0" fillId="6" fontId="17" numFmtId="0" xfId="0" applyFont="1"/>
    <xf borderId="0" fillId="5" fontId="18" numFmtId="0" xfId="0" applyFont="1"/>
    <xf borderId="1" fillId="4" fontId="19" numFmtId="0" xfId="0" applyBorder="1" applyFont="1"/>
    <xf borderId="1" fillId="6" fontId="20" numFmtId="0" xfId="0" applyBorder="1" applyFont="1"/>
    <xf borderId="1" fillId="0" fontId="3" numFmtId="0" xfId="0" applyAlignment="1" applyBorder="1" applyFont="1">
      <alignment readingOrder="0"/>
    </xf>
    <xf borderId="0" fillId="3" fontId="1" numFmtId="0" xfId="0" applyFont="1"/>
    <xf borderId="0" fillId="0" fontId="1" numFmtId="0" xfId="0" applyAlignment="1" applyFont="1">
      <alignment horizontal="center"/>
    </xf>
    <xf borderId="1" fillId="0" fontId="1" numFmtId="166" xfId="0" applyAlignment="1" applyBorder="1" applyFont="1" applyNumberFormat="1">
      <alignment readingOrder="0"/>
    </xf>
    <xf borderId="1" fillId="4" fontId="5" numFmtId="0" xfId="0" applyAlignment="1" applyBorder="1" applyFont="1">
      <alignment horizontal="center" readingOrder="0"/>
    </xf>
    <xf borderId="0" fillId="6" fontId="5" numFmtId="0" xfId="0" applyAlignment="1" applyFont="1">
      <alignment horizontal="center" readingOrder="0"/>
    </xf>
    <xf borderId="0" fillId="6" fontId="8" numFmtId="0" xfId="0" applyAlignment="1" applyFont="1">
      <alignment readingOrder="0" shrinkToFit="0" wrapText="1"/>
    </xf>
    <xf borderId="1" fillId="6" fontId="21" numFmtId="0" xfId="0" applyAlignment="1" applyBorder="1" applyFont="1">
      <alignment readingOrder="0"/>
    </xf>
    <xf borderId="1" fillId="6" fontId="3" numFmtId="0" xfId="0" applyAlignment="1" applyBorder="1" applyFont="1">
      <alignment readingOrder="0"/>
    </xf>
    <xf borderId="0" fillId="4" fontId="22" numFmtId="0" xfId="0" applyAlignment="1" applyFont="1">
      <alignment horizontal="left" readingOrder="0" vertical="bottom"/>
    </xf>
    <xf borderId="3" fillId="0" fontId="1" numFmtId="0" xfId="0" applyBorder="1" applyFont="1"/>
    <xf borderId="1" fillId="5" fontId="23" numFmtId="0" xfId="0" applyAlignment="1" applyBorder="1" applyFont="1">
      <alignment readingOrder="0"/>
    </xf>
    <xf borderId="0" fillId="6" fontId="1" numFmtId="0" xfId="0" applyAlignment="1" applyFont="1">
      <alignment readingOrder="0"/>
    </xf>
    <xf borderId="0" fillId="5" fontId="1" numFmtId="0" xfId="0" applyAlignment="1" applyFont="1">
      <alignment readingOrder="0"/>
    </xf>
    <xf borderId="0" fillId="0" fontId="24" numFmtId="0" xfId="0" applyAlignment="1" applyFont="1">
      <alignment readingOrder="0" shrinkToFit="0" wrapText="1"/>
    </xf>
    <xf borderId="0" fillId="0" fontId="25" numFmtId="0" xfId="0" applyAlignment="1" applyFont="1">
      <alignment readingOrder="0"/>
    </xf>
    <xf borderId="1" fillId="0" fontId="26" numFmtId="0" xfId="0" applyAlignment="1" applyBorder="1" applyFont="1">
      <alignment vertical="bottom"/>
    </xf>
    <xf borderId="1" fillId="6" fontId="5" numFmtId="0" xfId="0" applyAlignment="1" applyBorder="1" applyFont="1">
      <alignment vertical="bottom"/>
    </xf>
    <xf borderId="0" fillId="6" fontId="27" numFmtId="0" xfId="0" applyAlignment="1" applyFont="1">
      <alignment horizontal="left"/>
    </xf>
    <xf borderId="1" fillId="5" fontId="5" numFmtId="0" xfId="0" applyAlignment="1" applyBorder="1" applyFont="1">
      <alignment readingOrder="0" vertical="bottom"/>
    </xf>
    <xf borderId="0" fillId="5" fontId="28" numFmtId="0" xfId="0" applyAlignment="1" applyFont="1">
      <alignment horizontal="left"/>
    </xf>
    <xf borderId="1" fillId="4" fontId="5" numFmtId="0" xfId="0" applyAlignment="1" applyBorder="1" applyFont="1">
      <alignment vertical="bottom"/>
    </xf>
    <xf borderId="0" fillId="4" fontId="29" numFmtId="0" xfId="0" applyAlignment="1" applyFont="1">
      <alignment horizontal="left"/>
    </xf>
    <xf borderId="1" fillId="6" fontId="5" numFmtId="0" xfId="0" applyAlignment="1" applyBorder="1" applyFont="1">
      <alignment readingOrder="0" vertical="bottom"/>
    </xf>
    <xf borderId="1" fillId="6" fontId="30" numFmtId="0" xfId="0" applyAlignment="1" applyBorder="1" applyFont="1">
      <alignment vertical="bottom"/>
    </xf>
    <xf borderId="1" fillId="5" fontId="5" numFmtId="0" xfId="0" applyAlignment="1" applyBorder="1" applyFont="1">
      <alignment vertical="bottom"/>
    </xf>
    <xf borderId="1" fillId="6" fontId="31" numFmtId="0" xfId="0" applyAlignment="1" applyBorder="1" applyFont="1">
      <alignment vertical="bottom"/>
    </xf>
    <xf borderId="0" fillId="4" fontId="1" numFmtId="0" xfId="0" applyAlignment="1" applyFont="1">
      <alignment horizontal="left"/>
    </xf>
    <xf borderId="1" fillId="6" fontId="1" numFmtId="0" xfId="0" applyAlignment="1" applyBorder="1" applyFont="1">
      <alignment readingOrder="0"/>
    </xf>
    <xf borderId="1" fillId="5" fontId="1" numFmtId="0" xfId="0" applyAlignment="1" applyBorder="1" applyFont="1">
      <alignment readingOrder="0"/>
    </xf>
    <xf borderId="1" fillId="7" fontId="3" numFmtId="0" xfId="0" applyAlignment="1" applyBorder="1" applyFill="1" applyFont="1">
      <alignment readingOrder="0"/>
    </xf>
    <xf borderId="1" fillId="7" fontId="5" numFmtId="0" xfId="0" applyAlignment="1" applyBorder="1" applyFont="1">
      <alignment readingOrder="0" vertical="bottom"/>
    </xf>
    <xf borderId="0" fillId="7" fontId="32" numFmtId="0" xfId="0" applyAlignment="1" applyFont="1">
      <alignment horizontal="left"/>
    </xf>
    <xf borderId="1" fillId="7" fontId="1" numFmtId="0" xfId="0" applyBorder="1" applyFont="1"/>
    <xf borderId="0" fillId="7" fontId="1" numFmtId="0" xfId="0" applyFont="1"/>
    <xf borderId="1" fillId="4" fontId="1" numFmtId="0" xfId="0" applyAlignment="1" applyBorder="1" applyFont="1">
      <alignment readingOrder="0"/>
    </xf>
    <xf borderId="1" fillId="4" fontId="9" numFmtId="0" xfId="0" applyAlignment="1" applyBorder="1" applyFont="1">
      <alignment horizontal="left" readingOrder="0"/>
    </xf>
    <xf borderId="1" fillId="6" fontId="33" numFmtId="0" xfId="0" applyBorder="1" applyFont="1"/>
    <xf borderId="1" fillId="5" fontId="34" numFmtId="0" xfId="0" applyBorder="1" applyFont="1"/>
    <xf borderId="1" fillId="4" fontId="35" numFmtId="0" xfId="0" applyBorder="1" applyFont="1"/>
    <xf borderId="1" fillId="5" fontId="9" numFmtId="0" xfId="0" applyAlignment="1" applyBorder="1" applyFont="1">
      <alignment horizontal="left" readingOrder="0"/>
    </xf>
    <xf borderId="1" fillId="6" fontId="9" numFmtId="0" xfId="0" applyAlignment="1" applyBorder="1" applyFont="1">
      <alignment horizontal="left" readingOrder="0"/>
    </xf>
    <xf borderId="1" fillId="4" fontId="36" numFmtId="0" xfId="0" applyAlignment="1" applyBorder="1" applyFont="1">
      <alignment readingOrder="0"/>
    </xf>
    <xf borderId="1" fillId="5" fontId="37" numFmtId="0" xfId="0" applyAlignment="1" applyBorder="1" applyFont="1">
      <alignment readingOrder="0"/>
    </xf>
    <xf borderId="1" fillId="0" fontId="1" numFmtId="0" xfId="0" applyAlignment="1" applyBorder="1" applyFont="1">
      <alignment readingOrder="0"/>
    </xf>
    <xf borderId="1" fillId="0" fontId="9" numFmtId="0" xfId="0" applyAlignment="1" applyBorder="1" applyFont="1">
      <alignment horizontal="left" readingOrder="0"/>
    </xf>
    <xf borderId="1" fillId="8" fontId="1" numFmtId="0" xfId="0" applyAlignment="1" applyBorder="1" applyFill="1" applyFont="1">
      <alignment readingOrder="0"/>
    </xf>
    <xf borderId="1" fillId="4" fontId="38" numFmtId="0" xfId="0" applyAlignment="1" applyBorder="1" applyFont="1">
      <alignment readingOrder="0"/>
    </xf>
    <xf borderId="1" fillId="6" fontId="38" numFmtId="0" xfId="0" applyAlignment="1" applyBorder="1" applyFont="1">
      <alignment readingOrder="0"/>
    </xf>
    <xf borderId="1" fillId="5" fontId="38" numFmtId="0" xfId="0" applyAlignment="1" applyBorder="1" applyFont="1">
      <alignment readingOrder="0"/>
    </xf>
    <xf borderId="1" fillId="6" fontId="39" numFmtId="0" xfId="0" applyAlignment="1" applyBorder="1" applyFont="1">
      <alignment readingOrder="0"/>
    </xf>
    <xf borderId="1" fillId="0" fontId="1" numFmtId="0" xfId="0" applyAlignment="1" applyBorder="1" applyFont="1">
      <alignment readingOrder="0"/>
    </xf>
    <xf borderId="0" fillId="4" fontId="1" numFmtId="0" xfId="0" applyAlignment="1" applyFont="1">
      <alignment readingOrder="0"/>
    </xf>
    <xf borderId="1" fillId="9" fontId="1" numFmtId="0" xfId="0" applyAlignment="1" applyBorder="1" applyFill="1" applyFont="1">
      <alignment readingOrder="0"/>
    </xf>
    <xf borderId="1" fillId="10" fontId="3" numFmtId="0" xfId="0" applyAlignment="1" applyBorder="1" applyFill="1" applyFont="1">
      <alignment readingOrder="0"/>
    </xf>
    <xf borderId="1" fillId="11" fontId="1" numFmtId="0" xfId="0" applyAlignment="1" applyBorder="1" applyFill="1" applyFont="1">
      <alignment readingOrder="0"/>
    </xf>
    <xf borderId="1" fillId="12" fontId="3" numFmtId="0" xfId="0" applyAlignment="1" applyBorder="1" applyFill="1" applyFont="1">
      <alignment readingOrder="0"/>
    </xf>
    <xf borderId="1" fillId="0" fontId="38" numFmtId="0" xfId="0" applyAlignment="1" applyBorder="1" applyFont="1">
      <alignment readingOrder="0"/>
    </xf>
    <xf borderId="0" fillId="4" fontId="1" numFmtId="0" xfId="0" applyFont="1"/>
    <xf borderId="0" fillId="0" fontId="1" numFmtId="0" xfId="0" applyFont="1"/>
  </cellXfs>
  <cellStyles count="1">
    <cellStyle xfId="0" name="Normal" builtinId="0"/>
  </cellStyles>
  <dxfs count="1">
    <dxf>
      <font/>
      <fill>
        <patternFill patternType="solid">
          <fgColor theme="4"/>
          <bgColor theme="4"/>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city-fukutsu-lg-jp.translate.goog/teiju/kurasu/2872.html?_x_tr_sl=ja&amp;_x_tr_tl=en&amp;_x_tr_hl=en-GB"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kurunavi.jp/en/municipality/20.html"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city.kawasaki.jp/" TargetMode="External"/><Relationship Id="rId3" Type="http://schemas.openxmlformats.org/officeDocument/2006/relationships/drawing" Target="../drawings/drawing10.xml"/><Relationship Id="rId4"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city.suzuka.lg.jp/iju/kurashi/1010625.html"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iju-miyazaki-city.jp/modules/addon_vacanthouse/"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6.xml"/><Relationship Id="rId3"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25"/>
    <col customWidth="1" min="4" max="4" width="26.88"/>
    <col customWidth="1" min="5" max="5" width="39.88"/>
    <col customWidth="1" min="6" max="6" width="18.25"/>
  </cols>
  <sheetData>
    <row r="1">
      <c r="A1" s="1" t="s">
        <v>0</v>
      </c>
    </row>
    <row r="2">
      <c r="A2" s="2" t="s">
        <v>1</v>
      </c>
    </row>
    <row r="3">
      <c r="F3" s="3" t="s">
        <v>2</v>
      </c>
    </row>
    <row r="4">
      <c r="A4" s="4" t="s">
        <v>3</v>
      </c>
      <c r="B4" s="4" t="s">
        <v>4</v>
      </c>
      <c r="C4" s="4" t="s">
        <v>5</v>
      </c>
      <c r="D4" s="4" t="s">
        <v>6</v>
      </c>
      <c r="E4" s="4" t="s">
        <v>7</v>
      </c>
      <c r="F4" s="5">
        <v>45292.0</v>
      </c>
      <c r="G4" s="6">
        <v>45323.0</v>
      </c>
      <c r="H4" s="7">
        <v>45352.0</v>
      </c>
      <c r="I4" s="8">
        <v>45383.0</v>
      </c>
      <c r="J4" s="6">
        <v>45444.0</v>
      </c>
      <c r="K4" s="6">
        <v>45474.0</v>
      </c>
      <c r="L4" s="9">
        <v>45505.0</v>
      </c>
      <c r="M4" s="9">
        <v>45597.0</v>
      </c>
      <c r="N4" s="10"/>
    </row>
    <row r="5">
      <c r="A5" s="3">
        <v>1.0</v>
      </c>
      <c r="B5" s="3" t="s">
        <v>8</v>
      </c>
      <c r="C5" s="3" t="s">
        <v>9</v>
      </c>
      <c r="D5" s="11"/>
      <c r="E5" s="12" t="str">
        <f>HYPERLINK("https://www.town.anamizu.lg.jp/kankou/houseinfo.html", "Link to Anamizu Town")
</f>
        <v>Link to Anamizu Town</v>
      </c>
      <c r="F5" s="3">
        <v>15.0</v>
      </c>
      <c r="G5" s="3">
        <v>19.0</v>
      </c>
      <c r="H5" s="11"/>
      <c r="I5" s="13">
        <v>15.0</v>
      </c>
      <c r="J5" s="14"/>
      <c r="K5" s="3">
        <v>16.0</v>
      </c>
      <c r="L5" s="3">
        <v>12.0</v>
      </c>
      <c r="M5" s="3">
        <v>14.0</v>
      </c>
      <c r="N5" s="10"/>
    </row>
    <row r="6">
      <c r="A6" s="3">
        <v>2.0</v>
      </c>
      <c r="B6" s="3" t="s">
        <v>10</v>
      </c>
      <c r="C6" s="3" t="s">
        <v>9</v>
      </c>
      <c r="D6" s="11"/>
      <c r="E6" s="15" t="str">
        <f>HYPERLINK("https://www.city.hakui.lg.jp/cgi-bin/recruit.php/1/list?key1=rent_sale&amp;value1=%E5%A3%B2%E8%B2%B7&amp;like1=1", "Link to Hakui City Real Estate Listings")
</f>
        <v>Link to Hakui City Real Estate Listings</v>
      </c>
      <c r="F6" s="3">
        <v>25.0</v>
      </c>
      <c r="G6" s="3">
        <v>28.0</v>
      </c>
      <c r="H6" s="11"/>
      <c r="I6" s="13">
        <v>20.0</v>
      </c>
      <c r="J6" s="14"/>
      <c r="K6" s="3">
        <v>22.0</v>
      </c>
      <c r="L6" s="3">
        <v>21.0</v>
      </c>
      <c r="M6" s="3">
        <v>20.0</v>
      </c>
      <c r="N6" s="10"/>
    </row>
    <row r="7">
      <c r="A7" s="3">
        <v>3.0</v>
      </c>
      <c r="B7" s="3" t="s">
        <v>11</v>
      </c>
      <c r="C7" s="3" t="s">
        <v>9</v>
      </c>
      <c r="D7" s="3" t="s">
        <v>12</v>
      </c>
      <c r="E7" s="12" t="str">
        <f>HYPERLINK("https://www.city.hakusan.lg.jp/kikakusinkoubu/teiju/akiyataisaku/hakusanakiyabank.html", "Link to Hakusan City Akiya Bank")
</f>
        <v>Link to Hakusan City Akiya Bank</v>
      </c>
      <c r="F7" s="3">
        <v>0.0</v>
      </c>
      <c r="G7" s="3">
        <v>0.0</v>
      </c>
      <c r="H7" s="11"/>
      <c r="I7" s="13">
        <v>2.0</v>
      </c>
      <c r="J7" s="14"/>
      <c r="K7" s="3">
        <v>5.0</v>
      </c>
      <c r="L7" s="3">
        <v>0.0</v>
      </c>
      <c r="M7" s="3">
        <v>0.0</v>
      </c>
      <c r="N7" s="10"/>
    </row>
    <row r="8">
      <c r="A8" s="3">
        <v>4.0</v>
      </c>
      <c r="B8" s="3" t="s">
        <v>13</v>
      </c>
      <c r="C8" s="3" t="s">
        <v>9</v>
      </c>
      <c r="D8" s="11"/>
      <c r="E8" s="12" t="str">
        <f>HYPERLINK("http://iju.ishikawa.jp/akiya/buy_city_all.php?s_ci_id=160", "Link to Ishikawa City Akiya Listings")
</f>
        <v>Link to Ishikawa City Akiya Listings</v>
      </c>
      <c r="F8" s="3">
        <v>20.0</v>
      </c>
      <c r="G8" s="3">
        <v>15.0</v>
      </c>
      <c r="H8" s="11"/>
      <c r="I8" s="13">
        <v>21.0</v>
      </c>
      <c r="J8" s="14"/>
      <c r="K8" s="3">
        <v>20.0</v>
      </c>
      <c r="L8" s="3">
        <v>22.0</v>
      </c>
      <c r="M8" s="3">
        <v>26.0</v>
      </c>
      <c r="N8" s="10"/>
    </row>
    <row r="9">
      <c r="A9" s="3">
        <v>5.0</v>
      </c>
      <c r="B9" s="3" t="s">
        <v>14</v>
      </c>
      <c r="C9" s="3" t="s">
        <v>9</v>
      </c>
      <c r="D9" s="3" t="s">
        <v>15</v>
      </c>
      <c r="E9" s="12" t="str">
        <f>HYPERLINK("https://www.city.kaga.ishikawa.jp/soshiki/seisaku_senryaku/seisaku_suishin/jinkogensho_taisaku/4/1163.html", "Link to Kaga City Jinko Gensho Taisaku")
</f>
        <v>Link to Kaga City Jinko Gensho Taisaku</v>
      </c>
      <c r="F9" s="3">
        <v>69.0</v>
      </c>
      <c r="G9" s="3">
        <v>61.0</v>
      </c>
      <c r="H9" s="11"/>
      <c r="I9" s="13">
        <v>42.0</v>
      </c>
      <c r="J9" s="14"/>
      <c r="K9" s="3">
        <v>42.0</v>
      </c>
      <c r="L9" s="3">
        <v>41.0</v>
      </c>
      <c r="M9" s="3">
        <v>43.0</v>
      </c>
      <c r="N9" s="10"/>
    </row>
    <row r="10">
      <c r="A10" s="3">
        <v>6.0</v>
      </c>
      <c r="B10" s="3" t="s">
        <v>16</v>
      </c>
      <c r="C10" s="3" t="s">
        <v>9</v>
      </c>
      <c r="D10" s="3"/>
      <c r="E10" s="12" t="str">
        <f>HYPERLINK("http://www.city.kahoku.ishikawa.jp/www/01/104/001/000/index_11816.html", "Link to Kahoku City Official Website")
</f>
        <v>Link to Kahoku City Official Website</v>
      </c>
      <c r="F10" s="3">
        <v>2.0</v>
      </c>
      <c r="G10" s="3">
        <v>2.0</v>
      </c>
      <c r="H10" s="11"/>
      <c r="I10" s="13">
        <v>4.0</v>
      </c>
      <c r="J10" s="14"/>
      <c r="K10" s="3">
        <v>4.0</v>
      </c>
      <c r="L10" s="3">
        <v>2.0</v>
      </c>
      <c r="M10" s="3">
        <v>4.0</v>
      </c>
      <c r="N10" s="10"/>
    </row>
    <row r="11">
      <c r="A11" s="3">
        <v>7.0</v>
      </c>
      <c r="B11" s="3" t="s">
        <v>17</v>
      </c>
      <c r="C11" s="3" t="s">
        <v>18</v>
      </c>
      <c r="D11" s="11"/>
      <c r="E11" s="11"/>
      <c r="F11" s="3">
        <v>0.0</v>
      </c>
      <c r="G11" s="3">
        <v>0.0</v>
      </c>
      <c r="H11" s="11"/>
      <c r="I11" s="13">
        <v>0.0</v>
      </c>
      <c r="J11" s="14"/>
      <c r="K11" s="3">
        <v>0.0</v>
      </c>
      <c r="L11" s="3">
        <v>0.0</v>
      </c>
      <c r="M11" s="3">
        <v>0.0</v>
      </c>
      <c r="N11" s="10"/>
    </row>
    <row r="12">
      <c r="A12" s="3">
        <v>8.0</v>
      </c>
      <c r="B12" s="3" t="s">
        <v>19</v>
      </c>
      <c r="C12" s="3" t="s">
        <v>20</v>
      </c>
      <c r="D12" s="11"/>
      <c r="E12" s="11"/>
      <c r="F12" s="3">
        <v>0.0</v>
      </c>
      <c r="G12" s="3">
        <v>0.0</v>
      </c>
      <c r="H12" s="11"/>
      <c r="I12" s="13">
        <v>3.0</v>
      </c>
      <c r="J12" s="14"/>
      <c r="K12" s="3">
        <v>5.0</v>
      </c>
      <c r="L12" s="3">
        <v>1.0</v>
      </c>
      <c r="M12" s="3">
        <v>2.0</v>
      </c>
      <c r="N12" s="10"/>
    </row>
    <row r="13">
      <c r="A13" s="3">
        <v>9.0</v>
      </c>
      <c r="B13" s="3" t="s">
        <v>21</v>
      </c>
      <c r="C13" s="3" t="s">
        <v>9</v>
      </c>
      <c r="D13" s="11"/>
      <c r="E13" s="12" t="str">
        <f>HYPERLINK("https://www.city.komatsu.lg.jp/soshiki/kenchikujuutaku/akiya_akishitsubanku_komatsuchoukajouhoubanku/2209.html", "Link to Komatsu City Akiya Akishitsubanku")
</f>
        <v>Link to Komatsu City Akiya Akishitsubanku</v>
      </c>
      <c r="F13" s="3">
        <v>21.0</v>
      </c>
      <c r="G13" s="3">
        <v>0.0</v>
      </c>
      <c r="H13" s="11"/>
      <c r="I13" s="13">
        <v>0.0</v>
      </c>
      <c r="J13" s="14"/>
      <c r="K13" s="3">
        <v>0.0</v>
      </c>
      <c r="L13" s="3">
        <v>1.0</v>
      </c>
      <c r="M13" s="3">
        <v>2.0</v>
      </c>
      <c r="N13" s="10"/>
    </row>
    <row r="14">
      <c r="A14" s="3">
        <v>10.0</v>
      </c>
      <c r="B14" s="3" t="s">
        <v>22</v>
      </c>
      <c r="C14" s="3" t="s">
        <v>9</v>
      </c>
      <c r="D14" s="11"/>
      <c r="E14" s="12" t="str">
        <f>HYPERLINK("https://www.town.nakanoto.ishikawa.jp/soshiki/kikaku/1/sumai/sumai/akiya/656.html", "Link to Nakanoto Town Akiya Listings")
</f>
        <v>Link to Nakanoto Town Akiya Listings</v>
      </c>
      <c r="F14" s="3">
        <v>21.0</v>
      </c>
      <c r="G14" s="3">
        <v>21.0</v>
      </c>
      <c r="H14" s="11"/>
      <c r="I14" s="13">
        <v>19.0</v>
      </c>
      <c r="J14" s="14"/>
      <c r="K14" s="3">
        <v>22.0</v>
      </c>
      <c r="L14" s="3">
        <v>15.0</v>
      </c>
      <c r="M14" s="3">
        <v>21.0</v>
      </c>
      <c r="N14" s="10"/>
    </row>
    <row r="15">
      <c r="A15" s="3">
        <v>11.0</v>
      </c>
      <c r="B15" s="3" t="s">
        <v>23</v>
      </c>
      <c r="C15" s="3" t="s">
        <v>9</v>
      </c>
      <c r="D15" s="3" t="s">
        <v>24</v>
      </c>
      <c r="E15" s="12" t="str">
        <f>HYPERLINK("https://www.city.nanao.lg.jp/nanaokurashi/search/", "Link to Nanao City Housing Search")
</f>
        <v>Link to Nanao City Housing Search</v>
      </c>
      <c r="F15" s="3">
        <v>0.0</v>
      </c>
      <c r="G15" s="3">
        <v>0.0</v>
      </c>
      <c r="H15" s="11"/>
      <c r="I15" s="13">
        <v>0.0</v>
      </c>
      <c r="J15" s="14"/>
      <c r="K15" s="3">
        <v>0.0</v>
      </c>
      <c r="L15" s="3">
        <v>0.0</v>
      </c>
      <c r="M15" s="3">
        <v>0.0</v>
      </c>
      <c r="N15" s="10"/>
    </row>
    <row r="16">
      <c r="A16" s="3">
        <v>12.0</v>
      </c>
      <c r="B16" s="3" t="s">
        <v>25</v>
      </c>
      <c r="C16" s="3" t="s">
        <v>9</v>
      </c>
      <c r="D16" s="11"/>
      <c r="E16" s="12" t="str">
        <f>HYPERLINK("https://www.city.nomi.ishikawa.jp/www/contents/1001000001329/index.html", "Link to Nomi City Official Website")
</f>
        <v>Link to Nomi City Official Website</v>
      </c>
      <c r="F16" s="3">
        <v>7.0</v>
      </c>
      <c r="G16" s="3">
        <v>5.0</v>
      </c>
      <c r="H16" s="11"/>
      <c r="I16" s="13">
        <v>2.0</v>
      </c>
      <c r="J16" s="14"/>
      <c r="K16" s="3">
        <v>2.0</v>
      </c>
      <c r="L16" s="3">
        <v>9.0</v>
      </c>
      <c r="M16" s="3">
        <v>3.0</v>
      </c>
      <c r="N16" s="10"/>
    </row>
    <row r="17">
      <c r="A17" s="3">
        <v>13.0</v>
      </c>
      <c r="B17" s="3" t="s">
        <v>26</v>
      </c>
      <c r="C17" s="3" t="s">
        <v>9</v>
      </c>
      <c r="D17" s="3" t="s">
        <v>24</v>
      </c>
      <c r="E17" s="12" t="str">
        <f>HYPERLINK("https://www.city.nonoichi.lg.jp/soshiki/8/16524.html", "Link to Nonoichi City Official Website")
</f>
        <v>Link to Nonoichi City Official Website</v>
      </c>
      <c r="F17" s="3">
        <v>0.0</v>
      </c>
      <c r="G17" s="3">
        <v>0.0</v>
      </c>
      <c r="H17" s="11"/>
      <c r="I17" s="13">
        <v>4.0</v>
      </c>
      <c r="J17" s="14"/>
      <c r="K17" s="3">
        <v>4.0</v>
      </c>
      <c r="L17" s="3">
        <v>0.0</v>
      </c>
      <c r="M17" s="3">
        <v>2.0</v>
      </c>
      <c r="N17" s="10"/>
    </row>
    <row r="18">
      <c r="A18" s="3">
        <v>14.0</v>
      </c>
      <c r="B18" s="3" t="s">
        <v>27</v>
      </c>
      <c r="C18" s="3" t="s">
        <v>9</v>
      </c>
      <c r="D18" s="11"/>
      <c r="E18" s="12" t="str">
        <f>HYPERLINK("http://notolife.com/list_p.php", "Link to Noto Life Property Listings")
</f>
        <v>Link to Noto Life Property Listings</v>
      </c>
      <c r="F18" s="3">
        <v>74.0</v>
      </c>
      <c r="G18" s="3">
        <v>65.0</v>
      </c>
      <c r="H18" s="11"/>
      <c r="I18" s="13">
        <v>56.0</v>
      </c>
      <c r="J18" s="14"/>
      <c r="K18" s="3">
        <v>59.0</v>
      </c>
      <c r="L18" s="3">
        <v>52.0</v>
      </c>
      <c r="M18" s="3">
        <v>48.0</v>
      </c>
      <c r="N18" s="10"/>
    </row>
    <row r="19">
      <c r="A19" s="3">
        <v>15.0</v>
      </c>
      <c r="B19" s="3" t="s">
        <v>28</v>
      </c>
      <c r="C19" s="3" t="s">
        <v>9</v>
      </c>
      <c r="D19" s="11"/>
      <c r="E19" s="12" t="str">
        <f>HYPERLINK("https://www.town.shika.lg.jp/machiseibi/kenchiku/akiya-bank.html", "Link to Shika Town Akiya Bank")
</f>
        <v>Link to Shika Town Akiya Bank</v>
      </c>
      <c r="F19" s="3">
        <v>21.0</v>
      </c>
      <c r="G19" s="3">
        <v>21.0</v>
      </c>
      <c r="H19" s="11"/>
      <c r="I19" s="13">
        <v>24.0</v>
      </c>
      <c r="J19" s="14"/>
      <c r="K19" s="3">
        <v>30.0</v>
      </c>
      <c r="L19" s="3">
        <v>37.0</v>
      </c>
      <c r="M19" s="3">
        <v>32.0</v>
      </c>
      <c r="N19" s="10"/>
    </row>
    <row r="20">
      <c r="A20" s="3">
        <v>16.0</v>
      </c>
      <c r="B20" s="3" t="s">
        <v>29</v>
      </c>
      <c r="C20" s="3" t="s">
        <v>9</v>
      </c>
      <c r="D20" s="11"/>
      <c r="E20" s="12" t="str">
        <f>HYPERLINK("https://sutto-zutto.com/housetype/%e7%a9%ba%e3%81%8d%e5%ae%b6%e3%83%90%e3%83%b3%e3%82%af/?transaction=%e5%a3%b2%e8%b2%b7", "Link to Sutto Zutto House Listings")
</f>
        <v>Link to Sutto Zutto House Listings</v>
      </c>
      <c r="F20" s="3">
        <v>74.0</v>
      </c>
      <c r="G20" s="3">
        <v>82.0</v>
      </c>
      <c r="H20" s="11"/>
      <c r="I20" s="13">
        <v>76.0</v>
      </c>
      <c r="J20" s="14"/>
      <c r="K20" s="3">
        <v>78.0</v>
      </c>
      <c r="L20" s="3">
        <v>84.0</v>
      </c>
      <c r="M20" s="3">
        <v>73.0</v>
      </c>
      <c r="N20" s="10"/>
    </row>
    <row r="21">
      <c r="A21" s="3">
        <v>17.0</v>
      </c>
      <c r="B21" s="3" t="s">
        <v>30</v>
      </c>
      <c r="C21" s="3" t="s">
        <v>9</v>
      </c>
      <c r="D21" s="11"/>
      <c r="E21" s="12" t="str">
        <f>HYPERLINK("https://www.town.tsubata.lg.jp/division/kikaku/akiya_bank.html", "Link to Tsubata Town Akiya Bank")
</f>
        <v>Link to Tsubata Town Akiya Bank</v>
      </c>
      <c r="F21" s="3">
        <v>2.0</v>
      </c>
      <c r="G21" s="3">
        <v>1.0</v>
      </c>
      <c r="H21" s="11"/>
      <c r="I21" s="13">
        <v>0.0</v>
      </c>
      <c r="J21" s="14"/>
      <c r="K21" s="3">
        <v>0.0</v>
      </c>
      <c r="L21" s="3">
        <v>0.0</v>
      </c>
      <c r="M21" s="3">
        <v>0.0</v>
      </c>
      <c r="N21" s="10"/>
    </row>
    <row r="22">
      <c r="A22" s="3">
        <v>18.0</v>
      </c>
      <c r="B22" s="3" t="s">
        <v>31</v>
      </c>
      <c r="C22" s="3" t="s">
        <v>9</v>
      </c>
      <c r="D22" s="11"/>
      <c r="E22" s="12" t="str">
        <f>HYPERLINK("https://www.town.uchinada.lg.jp/soshiki/kikaku/2056.html", "Link to Uchinada Town Property Listings")
</f>
        <v>Link to Uchinada Town Property Listings</v>
      </c>
      <c r="F22" s="3">
        <v>3.0</v>
      </c>
      <c r="G22" s="3">
        <v>2.0</v>
      </c>
      <c r="H22" s="11"/>
      <c r="I22" s="13">
        <v>5.0</v>
      </c>
      <c r="J22" s="14"/>
      <c r="K22" s="3">
        <v>5.0</v>
      </c>
      <c r="L22" s="3">
        <v>0.0</v>
      </c>
      <c r="M22" s="3">
        <v>3.0</v>
      </c>
      <c r="N22" s="10"/>
    </row>
    <row r="23">
      <c r="A23" s="3">
        <v>19.0</v>
      </c>
      <c r="B23" s="3" t="s">
        <v>32</v>
      </c>
      <c r="C23" s="3" t="s">
        <v>9</v>
      </c>
      <c r="D23" s="11"/>
      <c r="E23" s="12" t="str">
        <f>HYPERLINK("https://akiyadb.wajimanavi.jp/article/", "Link to Wajima City Akiya Database")
</f>
        <v>Link to Wajima City Akiya Database</v>
      </c>
      <c r="F23" s="3">
        <v>33.0</v>
      </c>
      <c r="G23" s="3">
        <v>37.0</v>
      </c>
      <c r="H23" s="11"/>
      <c r="I23" s="13">
        <v>40.0</v>
      </c>
      <c r="J23" s="14"/>
      <c r="K23" s="3">
        <v>40.0</v>
      </c>
      <c r="L23" s="3">
        <v>23.0</v>
      </c>
      <c r="M23" s="3">
        <v>21.0</v>
      </c>
      <c r="N23" s="10"/>
    </row>
    <row r="24">
      <c r="A24" s="16"/>
      <c r="B24" s="16"/>
      <c r="C24" s="16"/>
      <c r="D24" s="17"/>
      <c r="E24" s="17"/>
      <c r="F24" s="17">
        <f t="shared" ref="F24:G24" si="1">sum(F5:F23)</f>
        <v>387</v>
      </c>
      <c r="G24" s="17">
        <f t="shared" si="1"/>
        <v>359</v>
      </c>
      <c r="H24" s="17"/>
      <c r="I24" s="18">
        <v>333.0</v>
      </c>
      <c r="J24" s="19"/>
      <c r="K24" s="16">
        <v>354.0</v>
      </c>
      <c r="L24" s="16">
        <v>320.0</v>
      </c>
      <c r="M24" s="16">
        <v>314.0</v>
      </c>
    </row>
    <row r="25">
      <c r="A25" s="16"/>
      <c r="B25" s="16"/>
      <c r="C25" s="16"/>
      <c r="D25" s="16"/>
      <c r="E25" s="17"/>
      <c r="F25" s="16"/>
      <c r="G25" s="16"/>
      <c r="H25" s="17"/>
      <c r="I25" s="17"/>
      <c r="J25" s="17"/>
      <c r="K25" s="17"/>
      <c r="L25" s="17"/>
      <c r="M25" s="17"/>
    </row>
    <row r="26">
      <c r="A26" s="16"/>
      <c r="B26" s="16"/>
      <c r="C26" s="16"/>
      <c r="D26" s="17"/>
      <c r="E26" s="17"/>
      <c r="F26" s="17"/>
      <c r="G26" s="17"/>
      <c r="H26" s="17"/>
      <c r="I26" s="17"/>
      <c r="J26" s="17"/>
      <c r="K26" s="17"/>
      <c r="L26" s="17"/>
      <c r="M26" s="17"/>
    </row>
    <row r="27">
      <c r="A27" s="16"/>
      <c r="B27" s="16"/>
      <c r="C27" s="16"/>
      <c r="D27" s="17"/>
      <c r="E27" s="17"/>
      <c r="F27" s="17"/>
      <c r="G27" s="17"/>
      <c r="H27" s="17"/>
      <c r="I27" s="17"/>
      <c r="J27" s="17"/>
      <c r="K27" s="17"/>
      <c r="L27" s="17"/>
      <c r="M27" s="17"/>
    </row>
    <row r="28">
      <c r="A28" s="16"/>
      <c r="B28" s="16"/>
      <c r="C28" s="16"/>
      <c r="D28" s="17"/>
      <c r="E28" s="17"/>
      <c r="F28" s="17"/>
      <c r="G28" s="17"/>
      <c r="H28" s="17"/>
      <c r="I28" s="17"/>
      <c r="J28" s="17"/>
      <c r="K28" s="17"/>
      <c r="L28" s="17"/>
      <c r="M28" s="17"/>
    </row>
    <row r="29">
      <c r="A29" s="16"/>
      <c r="B29" s="16"/>
      <c r="C29" s="16"/>
      <c r="D29" s="17"/>
      <c r="E29" s="17"/>
      <c r="F29" s="17"/>
      <c r="G29" s="17"/>
      <c r="H29" s="17"/>
      <c r="I29" s="17"/>
      <c r="J29" s="17"/>
      <c r="K29" s="17"/>
      <c r="L29" s="17"/>
      <c r="M29" s="17"/>
    </row>
    <row r="30">
      <c r="A30" s="16"/>
      <c r="B30" s="16"/>
      <c r="C30" s="16"/>
      <c r="D30" s="17"/>
      <c r="E30" s="17"/>
      <c r="F30" s="17"/>
      <c r="G30" s="17"/>
      <c r="H30" s="17"/>
      <c r="I30" s="17"/>
      <c r="J30" s="17"/>
      <c r="K30" s="17"/>
      <c r="L30" s="17"/>
      <c r="M30" s="17"/>
    </row>
    <row r="31">
      <c r="A31" s="16"/>
      <c r="B31" s="16"/>
      <c r="C31" s="16"/>
      <c r="D31" s="17"/>
      <c r="E31" s="17"/>
      <c r="F31" s="17"/>
      <c r="G31" s="17"/>
      <c r="H31" s="17"/>
      <c r="I31" s="17"/>
      <c r="J31" s="17"/>
      <c r="K31" s="17"/>
      <c r="L31" s="17"/>
      <c r="M31" s="17"/>
    </row>
    <row r="32">
      <c r="A32" s="16"/>
      <c r="B32" s="16"/>
      <c r="C32" s="16"/>
      <c r="D32" s="17"/>
      <c r="E32" s="17"/>
      <c r="F32" s="17"/>
      <c r="G32" s="17"/>
      <c r="H32" s="17"/>
      <c r="I32" s="17"/>
      <c r="J32" s="17"/>
      <c r="K32" s="17"/>
      <c r="L32" s="17"/>
      <c r="M32" s="17"/>
    </row>
    <row r="33">
      <c r="A33" s="16"/>
      <c r="B33" s="16"/>
      <c r="C33" s="16"/>
      <c r="D33" s="16"/>
      <c r="E33" s="20"/>
      <c r="F33" s="17"/>
      <c r="G33" s="17"/>
      <c r="H33" s="17"/>
      <c r="I33" s="17"/>
      <c r="J33" s="17"/>
      <c r="K33" s="17"/>
      <c r="L33" s="17"/>
      <c r="M33" s="17"/>
    </row>
    <row r="34">
      <c r="A34" s="16"/>
      <c r="B34" s="16"/>
      <c r="C34" s="16"/>
      <c r="D34" s="17"/>
      <c r="E34" s="17"/>
      <c r="F34" s="17"/>
      <c r="G34" s="17"/>
      <c r="H34" s="17"/>
      <c r="I34" s="17"/>
      <c r="J34" s="17"/>
      <c r="K34" s="17"/>
      <c r="L34" s="17"/>
      <c r="M34" s="17"/>
    </row>
    <row r="35">
      <c r="A35" s="16"/>
      <c r="B35" s="16"/>
      <c r="C35" s="16"/>
      <c r="D35" s="17"/>
      <c r="E35" s="17"/>
      <c r="F35" s="17"/>
      <c r="G35" s="17"/>
      <c r="H35" s="17"/>
      <c r="I35" s="17"/>
      <c r="J35" s="17"/>
      <c r="K35" s="17"/>
      <c r="L35" s="17"/>
      <c r="M35" s="17"/>
    </row>
    <row r="36">
      <c r="A36" s="16"/>
      <c r="B36" s="16"/>
      <c r="C36" s="16"/>
      <c r="D36" s="17"/>
      <c r="E36" s="17"/>
      <c r="F36" s="17"/>
      <c r="G36" s="17"/>
      <c r="H36" s="17"/>
      <c r="I36" s="17"/>
      <c r="J36" s="17"/>
      <c r="K36" s="17"/>
      <c r="L36" s="17"/>
      <c r="M36" s="17"/>
    </row>
    <row r="37">
      <c r="A37" s="16"/>
      <c r="B37" s="16"/>
      <c r="C37" s="16"/>
      <c r="D37" s="17"/>
      <c r="E37" s="17"/>
      <c r="F37" s="17"/>
      <c r="G37" s="17"/>
      <c r="H37" s="17"/>
      <c r="I37" s="17"/>
      <c r="J37" s="17"/>
      <c r="K37" s="17"/>
      <c r="L37" s="17"/>
      <c r="M37" s="17"/>
    </row>
    <row r="38">
      <c r="A38" s="16"/>
      <c r="B38" s="16"/>
      <c r="C38" s="16"/>
      <c r="D38" s="17"/>
      <c r="E38" s="17"/>
      <c r="F38" s="17"/>
      <c r="G38" s="17"/>
      <c r="H38" s="17"/>
      <c r="I38" s="17"/>
      <c r="J38" s="17"/>
      <c r="K38" s="17"/>
      <c r="L38" s="17"/>
      <c r="M38" s="17"/>
    </row>
    <row r="39">
      <c r="A39" s="16"/>
      <c r="B39" s="16"/>
      <c r="C39" s="16"/>
      <c r="D39" s="17"/>
      <c r="E39" s="17"/>
      <c r="F39" s="17"/>
      <c r="G39" s="17"/>
      <c r="H39" s="17"/>
      <c r="I39" s="17"/>
      <c r="J39" s="17"/>
      <c r="K39" s="17"/>
      <c r="L39" s="17"/>
      <c r="M39" s="17"/>
    </row>
    <row r="40">
      <c r="A40" s="16"/>
      <c r="B40" s="16"/>
      <c r="C40" s="16"/>
      <c r="D40" s="17"/>
      <c r="E40" s="17"/>
      <c r="F40" s="17"/>
      <c r="G40" s="17"/>
      <c r="H40" s="17"/>
      <c r="I40" s="17"/>
      <c r="J40" s="17"/>
      <c r="K40" s="17"/>
      <c r="L40" s="17"/>
      <c r="M40" s="17"/>
    </row>
    <row r="41">
      <c r="A41" s="16"/>
      <c r="B41" s="16"/>
      <c r="C41" s="16"/>
      <c r="D41" s="17"/>
      <c r="E41" s="17"/>
      <c r="F41" s="17"/>
      <c r="G41" s="17"/>
      <c r="H41" s="17"/>
      <c r="I41" s="17"/>
      <c r="J41" s="17"/>
      <c r="K41" s="17"/>
      <c r="L41" s="17"/>
      <c r="M41" s="17"/>
    </row>
    <row r="42">
      <c r="A42" s="16"/>
      <c r="B42" s="16"/>
      <c r="C42" s="16"/>
      <c r="D42" s="17"/>
      <c r="E42" s="17"/>
      <c r="F42" s="17"/>
      <c r="G42" s="17"/>
      <c r="H42" s="17"/>
      <c r="I42" s="17"/>
      <c r="J42" s="17"/>
      <c r="K42" s="17"/>
      <c r="L42" s="17"/>
      <c r="M42" s="17"/>
    </row>
    <row r="43">
      <c r="A43" s="16"/>
      <c r="B43" s="16"/>
      <c r="C43" s="16"/>
      <c r="D43" s="17"/>
      <c r="E43" s="17"/>
      <c r="F43" s="17"/>
      <c r="G43" s="17"/>
      <c r="H43" s="17"/>
      <c r="I43" s="17"/>
      <c r="J43" s="17"/>
      <c r="K43" s="17"/>
      <c r="L43" s="17"/>
      <c r="M43" s="17"/>
    </row>
    <row r="44">
      <c r="A44" s="16"/>
      <c r="B44" s="16"/>
      <c r="C44" s="16"/>
      <c r="D44" s="17"/>
      <c r="E44" s="17"/>
      <c r="F44" s="17"/>
      <c r="G44" s="17"/>
      <c r="H44" s="17"/>
      <c r="I44" s="17"/>
      <c r="J44" s="17"/>
      <c r="K44" s="17"/>
      <c r="L44" s="17"/>
      <c r="M44" s="17"/>
    </row>
    <row r="45">
      <c r="A45" s="16"/>
      <c r="B45" s="16"/>
      <c r="C45" s="16"/>
      <c r="D45" s="17"/>
      <c r="E45" s="17"/>
      <c r="F45" s="17"/>
      <c r="G45" s="17"/>
      <c r="H45" s="17"/>
      <c r="I45" s="17"/>
      <c r="J45" s="17"/>
      <c r="K45" s="17"/>
      <c r="L45" s="17"/>
      <c r="M45" s="17"/>
    </row>
    <row r="46">
      <c r="A46" s="16"/>
      <c r="B46" s="16"/>
      <c r="C46" s="16"/>
      <c r="D46" s="17"/>
      <c r="E46" s="17"/>
      <c r="F46" s="17"/>
      <c r="G46" s="17"/>
      <c r="H46" s="17"/>
      <c r="I46" s="17"/>
      <c r="J46" s="17"/>
      <c r="K46" s="17"/>
      <c r="L46" s="17"/>
      <c r="M46" s="17"/>
    </row>
    <row r="47">
      <c r="A47" s="16"/>
      <c r="B47" s="16"/>
      <c r="C47" s="16"/>
      <c r="D47" s="17"/>
      <c r="E47" s="17"/>
      <c r="F47" s="17"/>
      <c r="G47" s="17"/>
      <c r="H47" s="17"/>
      <c r="I47" s="17"/>
      <c r="J47" s="17"/>
      <c r="K47" s="17"/>
      <c r="L47" s="17"/>
      <c r="M47" s="17"/>
    </row>
    <row r="48">
      <c r="A48" s="16"/>
      <c r="B48" s="16"/>
      <c r="C48" s="16"/>
      <c r="D48" s="16"/>
      <c r="E48" s="20"/>
      <c r="F48" s="17"/>
      <c r="G48" s="17"/>
      <c r="H48" s="17"/>
      <c r="I48" s="17"/>
      <c r="J48" s="17"/>
      <c r="K48" s="17"/>
      <c r="L48" s="17"/>
      <c r="M48" s="17"/>
    </row>
    <row r="49">
      <c r="A49" s="16"/>
      <c r="B49" s="16"/>
      <c r="C49" s="16"/>
      <c r="D49" s="16"/>
      <c r="E49" s="16"/>
      <c r="F49" s="17"/>
      <c r="G49" s="17"/>
      <c r="H49" s="17"/>
      <c r="I49" s="17"/>
      <c r="J49" s="17"/>
      <c r="K49" s="17"/>
      <c r="L49" s="17"/>
      <c r="M49" s="17"/>
    </row>
    <row r="50">
      <c r="A50" s="16"/>
      <c r="B50" s="16"/>
      <c r="C50" s="16"/>
      <c r="D50" s="17"/>
      <c r="E50" s="17"/>
      <c r="F50" s="17"/>
      <c r="G50" s="17"/>
      <c r="H50" s="17"/>
      <c r="I50" s="17"/>
      <c r="J50" s="17"/>
      <c r="K50" s="17"/>
      <c r="L50" s="17"/>
      <c r="M50" s="17"/>
    </row>
    <row r="51">
      <c r="A51" s="16"/>
      <c r="B51" s="16"/>
      <c r="C51" s="16"/>
      <c r="D51" s="17"/>
      <c r="E51" s="17"/>
      <c r="F51" s="17"/>
      <c r="G51" s="17"/>
      <c r="H51" s="17"/>
      <c r="I51" s="17"/>
      <c r="J51" s="17"/>
      <c r="K51" s="17"/>
      <c r="L51" s="17"/>
      <c r="M51" s="17"/>
    </row>
    <row r="52">
      <c r="A52" s="16"/>
      <c r="B52" s="16"/>
      <c r="C52" s="16"/>
      <c r="D52" s="16"/>
      <c r="E52" s="20"/>
      <c r="F52" s="17"/>
      <c r="G52" s="17"/>
      <c r="H52" s="17"/>
      <c r="I52" s="17"/>
      <c r="J52" s="17"/>
      <c r="K52" s="17"/>
      <c r="L52" s="17"/>
      <c r="M52" s="17"/>
    </row>
    <row r="53">
      <c r="A53" s="16"/>
      <c r="B53" s="16"/>
      <c r="C53" s="16"/>
      <c r="D53" s="16"/>
      <c r="E53" s="20"/>
      <c r="F53" s="17"/>
      <c r="G53" s="17"/>
      <c r="H53" s="17"/>
      <c r="I53" s="17"/>
      <c r="J53" s="17"/>
      <c r="K53" s="17"/>
      <c r="L53" s="17"/>
      <c r="M53" s="17"/>
    </row>
    <row r="54">
      <c r="A54" s="16"/>
      <c r="B54" s="16"/>
      <c r="C54" s="16"/>
      <c r="D54" s="17"/>
      <c r="E54" s="17"/>
      <c r="F54" s="17"/>
      <c r="G54" s="17"/>
      <c r="H54" s="17"/>
      <c r="I54" s="17"/>
      <c r="J54" s="17"/>
      <c r="K54" s="17"/>
      <c r="L54" s="17"/>
      <c r="M54" s="17"/>
    </row>
    <row r="55">
      <c r="A55" s="16"/>
      <c r="B55" s="16"/>
      <c r="C55" s="16"/>
      <c r="D55" s="17"/>
      <c r="E55" s="17"/>
      <c r="F55" s="17"/>
      <c r="G55" s="17"/>
      <c r="H55" s="17"/>
      <c r="I55" s="17"/>
      <c r="J55" s="17"/>
      <c r="K55" s="17"/>
      <c r="L55" s="17"/>
      <c r="M55" s="17"/>
    </row>
    <row r="56">
      <c r="A56" s="16"/>
      <c r="B56" s="16"/>
      <c r="C56" s="16"/>
      <c r="D56" s="17"/>
      <c r="E56" s="17"/>
      <c r="F56" s="17"/>
      <c r="G56" s="17"/>
      <c r="H56" s="17"/>
      <c r="I56" s="17"/>
      <c r="J56" s="17"/>
      <c r="K56" s="17"/>
      <c r="L56" s="17"/>
      <c r="M56" s="17"/>
    </row>
    <row r="57">
      <c r="A57" s="16"/>
      <c r="B57" s="16"/>
      <c r="C57" s="16"/>
      <c r="D57" s="17"/>
      <c r="E57" s="17"/>
      <c r="F57" s="17"/>
      <c r="G57" s="17"/>
      <c r="H57" s="17"/>
      <c r="I57" s="17"/>
      <c r="J57" s="17"/>
      <c r="K57" s="17"/>
      <c r="L57" s="17"/>
      <c r="M57" s="17"/>
    </row>
    <row r="58">
      <c r="A58" s="16"/>
      <c r="B58" s="16"/>
      <c r="C58" s="16"/>
      <c r="D58" s="17"/>
      <c r="E58" s="17"/>
      <c r="F58" s="17"/>
      <c r="G58" s="17"/>
      <c r="H58" s="17"/>
      <c r="I58" s="17"/>
      <c r="J58" s="17"/>
      <c r="K58" s="17"/>
      <c r="L58" s="17"/>
      <c r="M58" s="17"/>
    </row>
    <row r="59">
      <c r="A59" s="16"/>
      <c r="B59" s="16"/>
      <c r="C59" s="16"/>
      <c r="D59" s="17"/>
      <c r="E59" s="17"/>
      <c r="F59" s="17"/>
      <c r="G59" s="17"/>
      <c r="H59" s="17"/>
      <c r="I59" s="17"/>
      <c r="J59" s="17"/>
      <c r="K59" s="17"/>
      <c r="L59" s="17"/>
      <c r="M59" s="17"/>
    </row>
    <row r="60">
      <c r="A60" s="16"/>
      <c r="B60" s="16"/>
      <c r="C60" s="16"/>
      <c r="D60" s="17"/>
      <c r="E60" s="17"/>
      <c r="F60" s="17"/>
      <c r="G60" s="17"/>
      <c r="H60" s="17"/>
      <c r="I60" s="17"/>
      <c r="J60" s="17"/>
      <c r="K60" s="17"/>
      <c r="L60" s="17"/>
      <c r="M60" s="17"/>
    </row>
    <row r="61">
      <c r="A61" s="16"/>
      <c r="B61" s="16"/>
      <c r="C61" s="16"/>
      <c r="D61" s="17"/>
      <c r="E61" s="17"/>
      <c r="F61" s="17"/>
      <c r="G61" s="17"/>
      <c r="H61" s="17"/>
      <c r="I61" s="17"/>
      <c r="J61" s="17"/>
      <c r="K61" s="17"/>
      <c r="L61" s="17"/>
      <c r="M61" s="17"/>
    </row>
    <row r="62">
      <c r="A62" s="16"/>
      <c r="B62" s="16"/>
      <c r="C62" s="16"/>
      <c r="D62" s="17"/>
      <c r="E62" s="17"/>
      <c r="F62" s="17"/>
      <c r="G62" s="17"/>
      <c r="H62" s="17"/>
      <c r="I62" s="17"/>
      <c r="J62" s="17"/>
      <c r="K62" s="17"/>
      <c r="L62" s="17"/>
      <c r="M62" s="17"/>
    </row>
    <row r="63">
      <c r="A63" s="16"/>
      <c r="B63" s="16"/>
      <c r="C63" s="16"/>
      <c r="D63" s="17"/>
      <c r="E63" s="20"/>
      <c r="F63" s="17"/>
      <c r="G63" s="17"/>
      <c r="H63" s="17"/>
      <c r="I63" s="17"/>
      <c r="J63" s="17"/>
      <c r="K63" s="17"/>
      <c r="L63" s="17"/>
      <c r="M63" s="17"/>
    </row>
    <row r="64">
      <c r="A64" s="16"/>
      <c r="B64" s="16"/>
      <c r="C64" s="16"/>
      <c r="D64" s="17"/>
      <c r="E64" s="20"/>
      <c r="F64" s="17"/>
      <c r="G64" s="17"/>
      <c r="H64" s="17"/>
      <c r="I64" s="17"/>
      <c r="J64" s="17"/>
      <c r="K64" s="17"/>
      <c r="L64" s="17"/>
      <c r="M64" s="17"/>
    </row>
    <row r="65">
      <c r="A65" s="16"/>
      <c r="B65" s="16"/>
      <c r="C65" s="16"/>
      <c r="D65" s="17"/>
      <c r="E65" s="21"/>
      <c r="F65" s="17"/>
      <c r="G65" s="17"/>
      <c r="H65" s="17"/>
      <c r="I65" s="17"/>
      <c r="J65" s="17"/>
      <c r="K65" s="17"/>
      <c r="L65" s="17"/>
      <c r="M65" s="17"/>
    </row>
    <row r="66">
      <c r="A66" s="16"/>
      <c r="B66" s="16"/>
      <c r="C66" s="16"/>
      <c r="D66" s="17"/>
      <c r="E66" s="17"/>
      <c r="F66" s="17"/>
      <c r="G66" s="17"/>
      <c r="H66" s="17"/>
      <c r="I66" s="17"/>
      <c r="J66" s="17"/>
      <c r="K66" s="17"/>
      <c r="L66" s="17"/>
      <c r="M66" s="1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25"/>
    <col customWidth="1" min="4" max="4" width="26.88"/>
    <col customWidth="1" min="5" max="5" width="39.88"/>
    <col customWidth="1" min="6" max="6" width="18.25"/>
  </cols>
  <sheetData>
    <row r="2">
      <c r="A2" s="2" t="s">
        <v>33</v>
      </c>
    </row>
    <row r="3">
      <c r="F3" s="3" t="s">
        <v>2</v>
      </c>
    </row>
    <row r="4">
      <c r="A4" s="4" t="s">
        <v>3</v>
      </c>
      <c r="B4" s="4" t="s">
        <v>4</v>
      </c>
      <c r="C4" s="4" t="s">
        <v>5</v>
      </c>
      <c r="D4" s="4" t="s">
        <v>6</v>
      </c>
      <c r="E4" s="4" t="s">
        <v>7</v>
      </c>
      <c r="F4" s="6">
        <v>45292.0</v>
      </c>
      <c r="G4" s="6">
        <v>45323.0</v>
      </c>
      <c r="H4" s="6">
        <v>45352.0</v>
      </c>
      <c r="I4" s="6">
        <v>45383.0</v>
      </c>
      <c r="J4" s="6">
        <v>45474.0</v>
      </c>
      <c r="K4" s="9">
        <v>45505.0</v>
      </c>
      <c r="L4" s="9">
        <v>45597.0</v>
      </c>
      <c r="M4" s="11"/>
      <c r="N4" s="10"/>
    </row>
    <row r="5">
      <c r="A5" s="22">
        <v>1.0</v>
      </c>
      <c r="B5" s="22" t="s">
        <v>34</v>
      </c>
      <c r="C5" s="22" t="s">
        <v>20</v>
      </c>
      <c r="D5" s="23"/>
      <c r="E5" s="23"/>
      <c r="F5" s="22"/>
      <c r="G5" s="22">
        <v>0.0</v>
      </c>
      <c r="H5" s="23"/>
      <c r="I5" s="22">
        <v>0.0</v>
      </c>
      <c r="J5" s="22">
        <v>0.0</v>
      </c>
      <c r="K5" s="22">
        <v>0.0</v>
      </c>
      <c r="L5" s="22">
        <v>0.0</v>
      </c>
      <c r="M5" s="23"/>
      <c r="N5" s="24"/>
      <c r="O5" s="25"/>
      <c r="P5" s="25"/>
      <c r="Q5" s="25"/>
      <c r="R5" s="25"/>
      <c r="S5" s="25"/>
      <c r="T5" s="25"/>
      <c r="U5" s="25"/>
      <c r="V5" s="25"/>
      <c r="W5" s="25"/>
      <c r="X5" s="25"/>
      <c r="Y5" s="25"/>
    </row>
    <row r="6">
      <c r="A6" s="22">
        <v>2.0</v>
      </c>
      <c r="B6" s="22" t="s">
        <v>35</v>
      </c>
      <c r="C6" s="22" t="s">
        <v>20</v>
      </c>
      <c r="D6" s="23"/>
      <c r="E6" s="23"/>
      <c r="F6" s="26"/>
      <c r="G6" s="22">
        <v>0.0</v>
      </c>
      <c r="H6" s="23"/>
      <c r="I6" s="22">
        <v>0.0</v>
      </c>
      <c r="J6" s="22">
        <v>0.0</v>
      </c>
      <c r="K6" s="22">
        <v>0.0</v>
      </c>
      <c r="L6" s="22">
        <v>0.0</v>
      </c>
      <c r="M6" s="23"/>
      <c r="N6" s="24"/>
      <c r="O6" s="25"/>
      <c r="P6" s="25"/>
      <c r="Q6" s="25"/>
      <c r="R6" s="25"/>
      <c r="S6" s="25"/>
      <c r="T6" s="25"/>
      <c r="U6" s="25"/>
      <c r="V6" s="25"/>
      <c r="W6" s="25"/>
      <c r="X6" s="25"/>
      <c r="Y6" s="25"/>
    </row>
    <row r="7">
      <c r="A7" s="22">
        <v>3.0</v>
      </c>
      <c r="B7" s="22" t="s">
        <v>36</v>
      </c>
      <c r="C7" s="22" t="s">
        <v>20</v>
      </c>
      <c r="D7" s="23"/>
      <c r="E7" s="23"/>
      <c r="F7" s="23"/>
      <c r="G7" s="22">
        <v>0.0</v>
      </c>
      <c r="H7" s="23"/>
      <c r="I7" s="22">
        <v>0.0</v>
      </c>
      <c r="J7" s="22">
        <v>0.0</v>
      </c>
      <c r="K7" s="22">
        <v>0.0</v>
      </c>
      <c r="L7" s="22">
        <v>0.0</v>
      </c>
      <c r="M7" s="23"/>
      <c r="N7" s="24"/>
      <c r="O7" s="25"/>
      <c r="P7" s="25"/>
      <c r="Q7" s="25"/>
      <c r="R7" s="25"/>
      <c r="S7" s="25"/>
      <c r="T7" s="25"/>
      <c r="U7" s="25"/>
      <c r="V7" s="25"/>
      <c r="W7" s="25"/>
      <c r="X7" s="25"/>
      <c r="Y7" s="25"/>
    </row>
    <row r="8">
      <c r="A8" s="22">
        <v>4.0</v>
      </c>
      <c r="B8" s="22" t="s">
        <v>37</v>
      </c>
      <c r="C8" s="22" t="s">
        <v>20</v>
      </c>
      <c r="D8" s="23"/>
      <c r="E8" s="23"/>
      <c r="F8" s="23"/>
      <c r="G8" s="22">
        <v>0.0</v>
      </c>
      <c r="H8" s="23"/>
      <c r="I8" s="22">
        <v>0.0</v>
      </c>
      <c r="J8" s="22">
        <v>0.0</v>
      </c>
      <c r="K8" s="22">
        <v>0.0</v>
      </c>
      <c r="L8" s="22">
        <v>0.0</v>
      </c>
      <c r="M8" s="23"/>
      <c r="N8" s="24"/>
      <c r="O8" s="25"/>
      <c r="P8" s="25"/>
      <c r="Q8" s="25"/>
      <c r="R8" s="25"/>
      <c r="S8" s="25"/>
      <c r="T8" s="25"/>
      <c r="U8" s="25"/>
      <c r="V8" s="25"/>
      <c r="W8" s="25"/>
      <c r="X8" s="25"/>
      <c r="Y8" s="25"/>
    </row>
    <row r="9">
      <c r="A9" s="22">
        <v>5.0</v>
      </c>
      <c r="B9" s="22" t="s">
        <v>38</v>
      </c>
      <c r="C9" s="22" t="s">
        <v>9</v>
      </c>
      <c r="D9" s="22" t="s">
        <v>15</v>
      </c>
      <c r="E9" s="27" t="str">
        <f>HYPERLINK("https://www.city.arakawa.tokyo.jp/a042/seikatsu/sumai/akiyabanku.html", "Link to Arakawa City Akiyabanku")
</f>
        <v>Link to Arakawa City Akiyabanku</v>
      </c>
      <c r="F9" s="23"/>
      <c r="G9" s="22">
        <v>0.0</v>
      </c>
      <c r="H9" s="23"/>
      <c r="I9" s="22">
        <v>0.0</v>
      </c>
      <c r="J9" s="22">
        <v>0.0</v>
      </c>
      <c r="K9" s="22">
        <v>0.0</v>
      </c>
      <c r="L9" s="22">
        <v>0.0</v>
      </c>
      <c r="M9" s="23"/>
      <c r="N9" s="24"/>
      <c r="O9" s="25"/>
      <c r="P9" s="25"/>
      <c r="Q9" s="25"/>
      <c r="R9" s="25"/>
      <c r="S9" s="25"/>
      <c r="T9" s="25"/>
      <c r="U9" s="25"/>
      <c r="V9" s="25"/>
      <c r="W9" s="25"/>
      <c r="X9" s="25"/>
      <c r="Y9" s="25"/>
    </row>
    <row r="10">
      <c r="A10" s="22">
        <v>6.0</v>
      </c>
      <c r="B10" s="22" t="s">
        <v>39</v>
      </c>
      <c r="C10" s="22" t="s">
        <v>9</v>
      </c>
      <c r="D10" s="22" t="s">
        <v>40</v>
      </c>
      <c r="E10" s="27" t="str">
        <f>HYPERLINK("https://www.city.bunkyo.lg.jp/bosai/machizukuri/akiyataisaku/akiyarikatuyou.html", "Link to Bunkyo City Akiya Rikatuyou")
</f>
        <v>Link to Bunkyo City Akiya Rikatuyou</v>
      </c>
      <c r="F10" s="23"/>
      <c r="G10" s="22">
        <v>0.0</v>
      </c>
      <c r="H10" s="23"/>
      <c r="I10" s="22">
        <v>0.0</v>
      </c>
      <c r="J10" s="22">
        <v>0.0</v>
      </c>
      <c r="K10" s="22">
        <v>0.0</v>
      </c>
      <c r="L10" s="22">
        <v>0.0</v>
      </c>
      <c r="M10" s="23"/>
      <c r="N10" s="24"/>
      <c r="O10" s="25"/>
      <c r="P10" s="25"/>
      <c r="Q10" s="25"/>
      <c r="R10" s="25"/>
      <c r="S10" s="25"/>
      <c r="T10" s="25"/>
      <c r="U10" s="25"/>
      <c r="V10" s="25"/>
      <c r="W10" s="25"/>
      <c r="X10" s="25"/>
      <c r="Y10" s="25"/>
    </row>
    <row r="11">
      <c r="A11" s="22">
        <v>7.0</v>
      </c>
      <c r="B11" s="22" t="s">
        <v>41</v>
      </c>
      <c r="C11" s="22" t="s">
        <v>20</v>
      </c>
      <c r="D11" s="23"/>
      <c r="E11" s="23"/>
      <c r="F11" s="23"/>
      <c r="G11" s="22">
        <v>0.0</v>
      </c>
      <c r="H11" s="23"/>
      <c r="I11" s="22">
        <v>0.0</v>
      </c>
      <c r="J11" s="22">
        <v>0.0</v>
      </c>
      <c r="K11" s="22">
        <v>0.0</v>
      </c>
      <c r="L11" s="22">
        <v>0.0</v>
      </c>
      <c r="M11" s="23"/>
      <c r="N11" s="24"/>
      <c r="O11" s="25"/>
      <c r="P11" s="25"/>
      <c r="Q11" s="25"/>
      <c r="R11" s="25"/>
      <c r="S11" s="25"/>
      <c r="T11" s="25"/>
      <c r="U11" s="25"/>
      <c r="V11" s="25"/>
      <c r="W11" s="25"/>
      <c r="X11" s="25"/>
      <c r="Y11" s="25"/>
    </row>
    <row r="12">
      <c r="A12" s="22">
        <v>8.0</v>
      </c>
      <c r="B12" s="22" t="s">
        <v>42</v>
      </c>
      <c r="C12" s="22" t="s">
        <v>20</v>
      </c>
      <c r="D12" s="23"/>
      <c r="E12" s="23"/>
      <c r="F12" s="23"/>
      <c r="G12" s="22">
        <v>0.0</v>
      </c>
      <c r="H12" s="23"/>
      <c r="I12" s="22">
        <v>0.0</v>
      </c>
      <c r="J12" s="22">
        <v>0.0</v>
      </c>
      <c r="K12" s="22">
        <v>0.0</v>
      </c>
      <c r="L12" s="22">
        <v>0.0</v>
      </c>
      <c r="M12" s="23"/>
      <c r="N12" s="24"/>
      <c r="O12" s="25"/>
      <c r="P12" s="25"/>
      <c r="Q12" s="25"/>
      <c r="R12" s="25"/>
      <c r="S12" s="25"/>
      <c r="T12" s="25"/>
      <c r="U12" s="25"/>
      <c r="V12" s="25"/>
      <c r="W12" s="25"/>
      <c r="X12" s="25"/>
      <c r="Y12" s="25"/>
    </row>
    <row r="13">
      <c r="A13" s="22">
        <v>9.0</v>
      </c>
      <c r="B13" s="22" t="s">
        <v>43</v>
      </c>
      <c r="C13" s="22" t="s">
        <v>20</v>
      </c>
      <c r="D13" s="23"/>
      <c r="E13" s="23"/>
      <c r="F13" s="23"/>
      <c r="G13" s="22">
        <v>0.0</v>
      </c>
      <c r="H13" s="23"/>
      <c r="I13" s="22">
        <v>0.0</v>
      </c>
      <c r="J13" s="22">
        <v>0.0</v>
      </c>
      <c r="K13" s="22">
        <v>0.0</v>
      </c>
      <c r="L13" s="22">
        <v>0.0</v>
      </c>
      <c r="M13" s="23"/>
      <c r="N13" s="24"/>
      <c r="O13" s="25"/>
      <c r="P13" s="25"/>
      <c r="Q13" s="25"/>
      <c r="R13" s="25"/>
      <c r="S13" s="25"/>
      <c r="T13" s="25"/>
      <c r="U13" s="25"/>
      <c r="V13" s="25"/>
      <c r="W13" s="25"/>
      <c r="X13" s="25"/>
      <c r="Y13" s="25"/>
    </row>
    <row r="14">
      <c r="A14" s="22">
        <v>10.0</v>
      </c>
      <c r="B14" s="22" t="s">
        <v>44</v>
      </c>
      <c r="C14" s="22" t="s">
        <v>20</v>
      </c>
      <c r="D14" s="23"/>
      <c r="E14" s="23"/>
      <c r="F14" s="23"/>
      <c r="G14" s="22">
        <v>0.0</v>
      </c>
      <c r="H14" s="23"/>
      <c r="I14" s="22">
        <v>0.0</v>
      </c>
      <c r="J14" s="22">
        <v>0.0</v>
      </c>
      <c r="K14" s="22">
        <v>0.0</v>
      </c>
      <c r="L14" s="22">
        <v>0.0</v>
      </c>
      <c r="M14" s="23"/>
      <c r="N14" s="24"/>
      <c r="O14" s="25"/>
      <c r="P14" s="25"/>
      <c r="Q14" s="25"/>
      <c r="R14" s="25"/>
      <c r="S14" s="25"/>
      <c r="T14" s="25"/>
      <c r="U14" s="25"/>
      <c r="V14" s="25"/>
      <c r="W14" s="25"/>
      <c r="X14" s="25"/>
      <c r="Y14" s="25"/>
    </row>
    <row r="15">
      <c r="A15" s="22">
        <v>11.0</v>
      </c>
      <c r="B15" s="22" t="s">
        <v>45</v>
      </c>
      <c r="C15" s="22" t="s">
        <v>20</v>
      </c>
      <c r="D15" s="23"/>
      <c r="E15" s="23"/>
      <c r="F15" s="23"/>
      <c r="G15" s="22">
        <v>0.0</v>
      </c>
      <c r="H15" s="23"/>
      <c r="I15" s="22">
        <v>0.0</v>
      </c>
      <c r="J15" s="22">
        <v>0.0</v>
      </c>
      <c r="K15" s="22">
        <v>0.0</v>
      </c>
      <c r="L15" s="22">
        <v>0.0</v>
      </c>
      <c r="M15" s="23"/>
      <c r="N15" s="24"/>
      <c r="O15" s="25"/>
      <c r="P15" s="25"/>
      <c r="Q15" s="25"/>
      <c r="R15" s="25"/>
      <c r="S15" s="25"/>
      <c r="T15" s="25"/>
      <c r="U15" s="25"/>
      <c r="V15" s="25"/>
      <c r="W15" s="25"/>
      <c r="X15" s="25"/>
      <c r="Y15" s="25"/>
    </row>
    <row r="16">
      <c r="A16" s="22">
        <v>12.0</v>
      </c>
      <c r="B16" s="22" t="s">
        <v>46</v>
      </c>
      <c r="C16" s="22" t="s">
        <v>20</v>
      </c>
      <c r="D16" s="23"/>
      <c r="E16" s="23"/>
      <c r="F16" s="23"/>
      <c r="G16" s="22">
        <v>0.0</v>
      </c>
      <c r="H16" s="23"/>
      <c r="I16" s="22">
        <v>0.0</v>
      </c>
      <c r="J16" s="22">
        <v>0.0</v>
      </c>
      <c r="K16" s="22">
        <v>0.0</v>
      </c>
      <c r="L16" s="22">
        <v>0.0</v>
      </c>
      <c r="M16" s="23"/>
      <c r="N16" s="24"/>
      <c r="O16" s="25"/>
      <c r="P16" s="25"/>
      <c r="Q16" s="25"/>
      <c r="R16" s="25"/>
      <c r="S16" s="25"/>
      <c r="T16" s="25"/>
      <c r="U16" s="25"/>
      <c r="V16" s="25"/>
      <c r="W16" s="25"/>
      <c r="X16" s="25"/>
      <c r="Y16" s="25"/>
    </row>
    <row r="17">
      <c r="A17" s="22">
        <v>13.0</v>
      </c>
      <c r="B17" s="22" t="s">
        <v>47</v>
      </c>
      <c r="C17" s="22" t="s">
        <v>20</v>
      </c>
      <c r="D17" s="23"/>
      <c r="E17" s="23"/>
      <c r="F17" s="23"/>
      <c r="G17" s="22">
        <v>0.0</v>
      </c>
      <c r="H17" s="23"/>
      <c r="I17" s="22">
        <v>0.0</v>
      </c>
      <c r="J17" s="22">
        <v>0.0</v>
      </c>
      <c r="K17" s="22">
        <v>0.0</v>
      </c>
      <c r="L17" s="22">
        <v>0.0</v>
      </c>
      <c r="M17" s="23"/>
      <c r="N17" s="24"/>
      <c r="O17" s="25"/>
      <c r="P17" s="25"/>
      <c r="Q17" s="25"/>
      <c r="R17" s="25"/>
      <c r="S17" s="25"/>
      <c r="T17" s="25"/>
      <c r="U17" s="25"/>
      <c r="V17" s="25"/>
      <c r="W17" s="25"/>
      <c r="X17" s="25"/>
      <c r="Y17" s="25"/>
    </row>
    <row r="18">
      <c r="A18" s="22">
        <v>14.0</v>
      </c>
      <c r="B18" s="22" t="s">
        <v>48</v>
      </c>
      <c r="C18" s="22" t="s">
        <v>20</v>
      </c>
      <c r="D18" s="23"/>
      <c r="E18" s="23"/>
      <c r="F18" s="23"/>
      <c r="G18" s="22">
        <v>0.0</v>
      </c>
      <c r="H18" s="23"/>
      <c r="I18" s="22">
        <v>0.0</v>
      </c>
      <c r="J18" s="22">
        <v>0.0</v>
      </c>
      <c r="K18" s="22">
        <v>0.0</v>
      </c>
      <c r="L18" s="22">
        <v>0.0</v>
      </c>
      <c r="M18" s="23"/>
      <c r="N18" s="24"/>
      <c r="O18" s="25"/>
      <c r="P18" s="25"/>
      <c r="Q18" s="25"/>
      <c r="R18" s="25"/>
      <c r="S18" s="25"/>
      <c r="T18" s="25"/>
      <c r="U18" s="25"/>
      <c r="V18" s="25"/>
      <c r="W18" s="25"/>
      <c r="X18" s="25"/>
      <c r="Y18" s="25"/>
    </row>
    <row r="19">
      <c r="A19" s="22">
        <v>15.0</v>
      </c>
      <c r="B19" s="22" t="s">
        <v>49</v>
      </c>
      <c r="C19" s="22" t="s">
        <v>20</v>
      </c>
      <c r="D19" s="23"/>
      <c r="E19" s="23"/>
      <c r="F19" s="23"/>
      <c r="G19" s="22">
        <v>0.0</v>
      </c>
      <c r="H19" s="23"/>
      <c r="I19" s="22">
        <v>0.0</v>
      </c>
      <c r="J19" s="22">
        <v>0.0</v>
      </c>
      <c r="K19" s="22">
        <v>0.0</v>
      </c>
      <c r="L19" s="22">
        <v>0.0</v>
      </c>
      <c r="M19" s="23"/>
      <c r="N19" s="24"/>
      <c r="O19" s="25"/>
      <c r="P19" s="25"/>
      <c r="Q19" s="25"/>
      <c r="R19" s="25"/>
      <c r="S19" s="25"/>
      <c r="T19" s="25"/>
      <c r="U19" s="25"/>
      <c r="V19" s="25"/>
      <c r="W19" s="25"/>
      <c r="X19" s="25"/>
      <c r="Y19" s="25"/>
    </row>
    <row r="20">
      <c r="A20" s="22">
        <v>16.0</v>
      </c>
      <c r="B20" s="22" t="s">
        <v>50</v>
      </c>
      <c r="C20" s="22" t="s">
        <v>20</v>
      </c>
      <c r="D20" s="23"/>
      <c r="E20" s="23"/>
      <c r="F20" s="23"/>
      <c r="G20" s="22">
        <v>0.0</v>
      </c>
      <c r="H20" s="23"/>
      <c r="I20" s="22">
        <v>0.0</v>
      </c>
      <c r="J20" s="22">
        <v>0.0</v>
      </c>
      <c r="K20" s="22">
        <v>0.0</v>
      </c>
      <c r="L20" s="22">
        <v>0.0</v>
      </c>
      <c r="M20" s="23"/>
      <c r="N20" s="24"/>
      <c r="O20" s="25"/>
      <c r="P20" s="25"/>
      <c r="Q20" s="25"/>
      <c r="R20" s="25"/>
      <c r="S20" s="25"/>
      <c r="T20" s="25"/>
      <c r="U20" s="25"/>
      <c r="V20" s="25"/>
      <c r="W20" s="25"/>
      <c r="X20" s="25"/>
      <c r="Y20" s="25"/>
    </row>
    <row r="21">
      <c r="A21" s="22">
        <v>17.0</v>
      </c>
      <c r="B21" s="22" t="s">
        <v>51</v>
      </c>
      <c r="C21" s="22" t="s">
        <v>20</v>
      </c>
      <c r="D21" s="23"/>
      <c r="E21" s="23"/>
      <c r="F21" s="23"/>
      <c r="G21" s="22">
        <v>0.0</v>
      </c>
      <c r="H21" s="23"/>
      <c r="I21" s="22">
        <v>0.0</v>
      </c>
      <c r="J21" s="22">
        <v>0.0</v>
      </c>
      <c r="K21" s="22">
        <v>0.0</v>
      </c>
      <c r="L21" s="22">
        <v>0.0</v>
      </c>
      <c r="M21" s="23"/>
      <c r="N21" s="24"/>
      <c r="O21" s="25"/>
      <c r="P21" s="25"/>
      <c r="Q21" s="25"/>
      <c r="R21" s="25"/>
      <c r="S21" s="25"/>
      <c r="T21" s="25"/>
      <c r="U21" s="25"/>
      <c r="V21" s="25"/>
      <c r="W21" s="25"/>
      <c r="X21" s="25"/>
      <c r="Y21" s="25"/>
    </row>
    <row r="22">
      <c r="A22" s="22">
        <v>18.0</v>
      </c>
      <c r="B22" s="22" t="s">
        <v>52</v>
      </c>
      <c r="C22" s="22" t="s">
        <v>20</v>
      </c>
      <c r="D22" s="23"/>
      <c r="E22" s="23"/>
      <c r="F22" s="23"/>
      <c r="G22" s="22">
        <v>0.0</v>
      </c>
      <c r="H22" s="23"/>
      <c r="I22" s="22">
        <v>0.0</v>
      </c>
      <c r="J22" s="22">
        <v>0.0</v>
      </c>
      <c r="K22" s="22">
        <v>0.0</v>
      </c>
      <c r="L22" s="22">
        <v>0.0</v>
      </c>
      <c r="M22" s="23"/>
      <c r="N22" s="24"/>
      <c r="O22" s="25"/>
      <c r="P22" s="25"/>
      <c r="Q22" s="25"/>
      <c r="R22" s="25"/>
      <c r="S22" s="25"/>
      <c r="T22" s="25"/>
      <c r="U22" s="25"/>
      <c r="V22" s="25"/>
      <c r="W22" s="25"/>
      <c r="X22" s="25"/>
      <c r="Y22" s="25"/>
    </row>
    <row r="23">
      <c r="A23" s="22">
        <v>19.0</v>
      </c>
      <c r="B23" s="22" t="s">
        <v>53</v>
      </c>
      <c r="C23" s="22" t="s">
        <v>20</v>
      </c>
      <c r="D23" s="23"/>
      <c r="E23" s="23"/>
      <c r="F23" s="23"/>
      <c r="G23" s="22">
        <v>0.0</v>
      </c>
      <c r="H23" s="23"/>
      <c r="I23" s="22">
        <v>0.0</v>
      </c>
      <c r="J23" s="22">
        <v>0.0</v>
      </c>
      <c r="K23" s="22">
        <v>0.0</v>
      </c>
      <c r="L23" s="22">
        <v>0.0</v>
      </c>
      <c r="M23" s="23"/>
      <c r="N23" s="24"/>
      <c r="O23" s="25"/>
      <c r="P23" s="25"/>
      <c r="Q23" s="25"/>
      <c r="R23" s="25"/>
      <c r="S23" s="25"/>
      <c r="T23" s="25"/>
      <c r="U23" s="25"/>
      <c r="V23" s="25"/>
      <c r="W23" s="25"/>
      <c r="X23" s="25"/>
      <c r="Y23" s="25"/>
    </row>
    <row r="24">
      <c r="A24" s="22">
        <v>20.0</v>
      </c>
      <c r="B24" s="22" t="s">
        <v>54</v>
      </c>
      <c r="C24" s="22" t="s">
        <v>20</v>
      </c>
      <c r="D24" s="23"/>
      <c r="E24" s="23"/>
      <c r="F24" s="23"/>
      <c r="G24" s="22">
        <v>0.0</v>
      </c>
      <c r="H24" s="23"/>
      <c r="I24" s="28">
        <v>0.0</v>
      </c>
      <c r="J24" s="22">
        <v>0.0</v>
      </c>
      <c r="K24" s="22">
        <v>0.0</v>
      </c>
      <c r="L24" s="22">
        <v>0.0</v>
      </c>
      <c r="M24" s="23"/>
      <c r="N24" s="24"/>
      <c r="O24" s="25"/>
      <c r="P24" s="25"/>
      <c r="Q24" s="25"/>
      <c r="R24" s="25"/>
      <c r="S24" s="25"/>
      <c r="T24" s="25"/>
      <c r="U24" s="25"/>
      <c r="V24" s="25"/>
      <c r="W24" s="25"/>
      <c r="X24" s="25"/>
      <c r="Y24" s="25"/>
    </row>
    <row r="25">
      <c r="A25" s="29">
        <v>21.0</v>
      </c>
      <c r="B25" s="29" t="s">
        <v>55</v>
      </c>
      <c r="C25" s="29" t="s">
        <v>9</v>
      </c>
      <c r="D25" s="29" t="s">
        <v>56</v>
      </c>
      <c r="E25" s="30" t="str">
        <f>HYPERLINK("https://www.vill.hinohara.tokyo.jp/0000000581.html", "Link to Hinohara Village Official Website")
</f>
        <v>Link to Hinohara Village Official Website</v>
      </c>
      <c r="F25" s="31"/>
      <c r="G25" s="29">
        <v>3.0</v>
      </c>
      <c r="H25" s="31"/>
      <c r="I25" s="29">
        <v>2.0</v>
      </c>
      <c r="J25" s="29">
        <v>3.0</v>
      </c>
      <c r="K25" s="29">
        <v>4.0</v>
      </c>
      <c r="L25" s="29">
        <v>3.0</v>
      </c>
      <c r="M25" s="31"/>
      <c r="N25" s="32"/>
      <c r="O25" s="33"/>
      <c r="P25" s="33"/>
      <c r="Q25" s="33"/>
      <c r="R25" s="33"/>
      <c r="S25" s="33"/>
      <c r="T25" s="33"/>
      <c r="U25" s="33"/>
      <c r="V25" s="33"/>
      <c r="W25" s="33"/>
      <c r="X25" s="33"/>
      <c r="Y25" s="33"/>
    </row>
    <row r="26">
      <c r="A26" s="22">
        <v>22.0</v>
      </c>
      <c r="B26" s="22" t="s">
        <v>57</v>
      </c>
      <c r="C26" s="22" t="s">
        <v>20</v>
      </c>
      <c r="D26" s="23"/>
      <c r="E26" s="23"/>
      <c r="F26" s="23"/>
      <c r="G26" s="22">
        <v>0.0</v>
      </c>
      <c r="H26" s="23"/>
      <c r="I26" s="22">
        <v>0.0</v>
      </c>
      <c r="J26" s="22">
        <v>0.0</v>
      </c>
      <c r="K26" s="22">
        <v>0.0</v>
      </c>
      <c r="L26" s="22">
        <v>0.0</v>
      </c>
      <c r="M26" s="23"/>
      <c r="N26" s="24"/>
      <c r="O26" s="25"/>
      <c r="P26" s="25"/>
      <c r="Q26" s="25"/>
      <c r="R26" s="25"/>
      <c r="S26" s="25"/>
      <c r="T26" s="25"/>
      <c r="U26" s="25"/>
      <c r="V26" s="25"/>
      <c r="W26" s="25"/>
      <c r="X26" s="25"/>
      <c r="Y26" s="25"/>
    </row>
    <row r="27">
      <c r="A27" s="22">
        <v>23.0</v>
      </c>
      <c r="B27" s="22" t="s">
        <v>58</v>
      </c>
      <c r="C27" s="22" t="s">
        <v>20</v>
      </c>
      <c r="D27" s="23"/>
      <c r="E27" s="23"/>
      <c r="F27" s="23"/>
      <c r="G27" s="22">
        <v>0.0</v>
      </c>
      <c r="H27" s="23"/>
      <c r="I27" s="22">
        <v>0.0</v>
      </c>
      <c r="J27" s="22">
        <v>0.0</v>
      </c>
      <c r="K27" s="22">
        <v>0.0</v>
      </c>
      <c r="L27" s="22">
        <v>0.0</v>
      </c>
      <c r="M27" s="23"/>
      <c r="N27" s="24"/>
      <c r="O27" s="25"/>
      <c r="P27" s="25"/>
      <c r="Q27" s="25"/>
      <c r="R27" s="25"/>
      <c r="S27" s="25"/>
      <c r="T27" s="25"/>
      <c r="U27" s="25"/>
      <c r="V27" s="25"/>
      <c r="W27" s="25"/>
      <c r="X27" s="25"/>
      <c r="Y27" s="25"/>
    </row>
    <row r="28">
      <c r="A28" s="22">
        <v>24.0</v>
      </c>
      <c r="B28" s="22" t="s">
        <v>59</v>
      </c>
      <c r="C28" s="22" t="s">
        <v>20</v>
      </c>
      <c r="D28" s="23"/>
      <c r="E28" s="23"/>
      <c r="F28" s="23"/>
      <c r="G28" s="22">
        <v>0.0</v>
      </c>
      <c r="H28" s="23"/>
      <c r="I28" s="22">
        <v>0.0</v>
      </c>
      <c r="J28" s="22">
        <v>0.0</v>
      </c>
      <c r="K28" s="22">
        <v>0.0</v>
      </c>
      <c r="L28" s="22">
        <v>0.0</v>
      </c>
      <c r="M28" s="23"/>
      <c r="N28" s="24"/>
      <c r="O28" s="25"/>
      <c r="P28" s="25"/>
      <c r="Q28" s="25"/>
      <c r="R28" s="25"/>
      <c r="S28" s="25"/>
      <c r="T28" s="25"/>
      <c r="U28" s="25"/>
      <c r="V28" s="25"/>
      <c r="W28" s="25"/>
      <c r="X28" s="25"/>
      <c r="Y28" s="25"/>
    </row>
    <row r="29">
      <c r="A29" s="22">
        <v>25.0</v>
      </c>
      <c r="B29" s="22" t="s">
        <v>60</v>
      </c>
      <c r="C29" s="22" t="s">
        <v>20</v>
      </c>
      <c r="D29" s="23"/>
      <c r="E29" s="23"/>
      <c r="F29" s="23"/>
      <c r="G29" s="22">
        <v>0.0</v>
      </c>
      <c r="H29" s="23"/>
      <c r="I29" s="22">
        <v>0.0</v>
      </c>
      <c r="J29" s="22">
        <v>0.0</v>
      </c>
      <c r="K29" s="22">
        <v>0.0</v>
      </c>
      <c r="L29" s="22">
        <v>0.0</v>
      </c>
      <c r="M29" s="23"/>
      <c r="N29" s="24"/>
      <c r="O29" s="25"/>
      <c r="P29" s="25"/>
      <c r="Q29" s="25"/>
      <c r="R29" s="25"/>
      <c r="S29" s="25"/>
      <c r="T29" s="25"/>
      <c r="U29" s="25"/>
      <c r="V29" s="25"/>
      <c r="W29" s="25"/>
      <c r="X29" s="25"/>
      <c r="Y29" s="25"/>
    </row>
    <row r="30">
      <c r="A30" s="22">
        <v>26.0</v>
      </c>
      <c r="B30" s="22" t="s">
        <v>61</v>
      </c>
      <c r="C30" s="22" t="s">
        <v>20</v>
      </c>
      <c r="D30" s="23"/>
      <c r="E30" s="23"/>
      <c r="F30" s="23"/>
      <c r="G30" s="22">
        <v>0.0</v>
      </c>
      <c r="H30" s="23"/>
      <c r="I30" s="22">
        <v>0.0</v>
      </c>
      <c r="J30" s="22">
        <v>0.0</v>
      </c>
      <c r="K30" s="22">
        <v>0.0</v>
      </c>
      <c r="L30" s="22">
        <v>0.0</v>
      </c>
      <c r="M30" s="23"/>
      <c r="N30" s="24"/>
      <c r="O30" s="25"/>
      <c r="P30" s="25"/>
      <c r="Q30" s="25"/>
      <c r="R30" s="25"/>
      <c r="S30" s="25"/>
      <c r="T30" s="25"/>
      <c r="U30" s="25"/>
      <c r="V30" s="25"/>
      <c r="W30" s="25"/>
      <c r="X30" s="25"/>
      <c r="Y30" s="25"/>
    </row>
    <row r="31">
      <c r="A31" s="22">
        <v>27.0</v>
      </c>
      <c r="B31" s="22" t="s">
        <v>62</v>
      </c>
      <c r="C31" s="22" t="s">
        <v>20</v>
      </c>
      <c r="D31" s="23"/>
      <c r="E31" s="23"/>
      <c r="F31" s="23"/>
      <c r="G31" s="22">
        <v>0.0</v>
      </c>
      <c r="H31" s="23"/>
      <c r="I31" s="22">
        <v>0.0</v>
      </c>
      <c r="J31" s="22">
        <v>0.0</v>
      </c>
      <c r="K31" s="22">
        <v>0.0</v>
      </c>
      <c r="L31" s="22">
        <v>0.0</v>
      </c>
      <c r="M31" s="23"/>
      <c r="N31" s="24"/>
      <c r="O31" s="25"/>
      <c r="P31" s="25"/>
      <c r="Q31" s="25"/>
      <c r="R31" s="25"/>
      <c r="S31" s="25"/>
      <c r="T31" s="25"/>
      <c r="U31" s="25"/>
      <c r="V31" s="25"/>
      <c r="W31" s="25"/>
      <c r="X31" s="25"/>
      <c r="Y31" s="25"/>
    </row>
    <row r="32">
      <c r="A32" s="22">
        <v>28.0</v>
      </c>
      <c r="B32" s="22" t="s">
        <v>63</v>
      </c>
      <c r="C32" s="22" t="s">
        <v>20</v>
      </c>
      <c r="D32" s="23"/>
      <c r="E32" s="23"/>
      <c r="F32" s="23"/>
      <c r="G32" s="22">
        <v>0.0</v>
      </c>
      <c r="H32" s="23"/>
      <c r="I32" s="22">
        <v>0.0</v>
      </c>
      <c r="J32" s="22">
        <v>0.0</v>
      </c>
      <c r="K32" s="22">
        <v>0.0</v>
      </c>
      <c r="L32" s="22">
        <v>0.0</v>
      </c>
      <c r="M32" s="23"/>
      <c r="N32" s="24"/>
      <c r="O32" s="25"/>
      <c r="P32" s="25"/>
      <c r="Q32" s="25"/>
      <c r="R32" s="25"/>
      <c r="S32" s="25"/>
      <c r="T32" s="25"/>
      <c r="U32" s="25"/>
      <c r="V32" s="25"/>
      <c r="W32" s="25"/>
      <c r="X32" s="25"/>
      <c r="Y32" s="25"/>
    </row>
    <row r="33">
      <c r="A33" s="22">
        <v>29.0</v>
      </c>
      <c r="B33" s="22" t="s">
        <v>64</v>
      </c>
      <c r="C33" s="22" t="s">
        <v>9</v>
      </c>
      <c r="D33" s="22" t="s">
        <v>65</v>
      </c>
      <c r="E33" s="27" t="str">
        <f>HYPERLINK("https://www.city.kokubunji.tokyo.jp/kurashi/koutsuu/1013374/1015457.html", "Link to Kokubunji City Property Information")
</f>
        <v>Link to Kokubunji City Property Information</v>
      </c>
      <c r="F33" s="23"/>
      <c r="G33" s="22">
        <v>0.0</v>
      </c>
      <c r="H33" s="23"/>
      <c r="I33" s="22">
        <v>0.0</v>
      </c>
      <c r="J33" s="22">
        <v>0.0</v>
      </c>
      <c r="K33" s="22">
        <v>0.0</v>
      </c>
      <c r="L33" s="22">
        <v>0.0</v>
      </c>
      <c r="M33" s="23"/>
      <c r="N33" s="24"/>
      <c r="O33" s="25"/>
      <c r="P33" s="25"/>
      <c r="Q33" s="25"/>
      <c r="R33" s="25"/>
      <c r="S33" s="25"/>
      <c r="T33" s="25"/>
      <c r="U33" s="25"/>
      <c r="V33" s="25"/>
      <c r="W33" s="25"/>
      <c r="X33" s="25"/>
      <c r="Y33" s="25"/>
    </row>
    <row r="34">
      <c r="A34" s="22">
        <v>30.0</v>
      </c>
      <c r="B34" s="22" t="s">
        <v>66</v>
      </c>
      <c r="C34" s="22" t="s">
        <v>20</v>
      </c>
      <c r="D34" s="23"/>
      <c r="E34" s="23"/>
      <c r="F34" s="23"/>
      <c r="G34" s="22">
        <v>0.0</v>
      </c>
      <c r="H34" s="23"/>
      <c r="I34" s="22">
        <v>0.0</v>
      </c>
      <c r="J34" s="22">
        <v>0.0</v>
      </c>
      <c r="K34" s="22">
        <v>0.0</v>
      </c>
      <c r="L34" s="22">
        <v>0.0</v>
      </c>
      <c r="M34" s="23"/>
      <c r="N34" s="24"/>
      <c r="O34" s="25"/>
      <c r="P34" s="25"/>
      <c r="Q34" s="25"/>
      <c r="R34" s="25"/>
      <c r="S34" s="25"/>
      <c r="T34" s="25"/>
      <c r="U34" s="25"/>
      <c r="V34" s="25"/>
      <c r="W34" s="25"/>
      <c r="X34" s="25"/>
      <c r="Y34" s="25"/>
    </row>
    <row r="35">
      <c r="A35" s="22">
        <v>31.0</v>
      </c>
      <c r="B35" s="22" t="s">
        <v>67</v>
      </c>
      <c r="C35" s="22" t="s">
        <v>20</v>
      </c>
      <c r="D35" s="23"/>
      <c r="E35" s="23"/>
      <c r="F35" s="23"/>
      <c r="G35" s="22">
        <v>0.0</v>
      </c>
      <c r="H35" s="23"/>
      <c r="I35" s="22">
        <v>0.0</v>
      </c>
      <c r="J35" s="22">
        <v>0.0</v>
      </c>
      <c r="K35" s="22">
        <v>0.0</v>
      </c>
      <c r="L35" s="22">
        <v>0.0</v>
      </c>
      <c r="M35" s="23"/>
      <c r="N35" s="24"/>
      <c r="O35" s="25"/>
      <c r="P35" s="25"/>
      <c r="Q35" s="25"/>
      <c r="R35" s="25"/>
      <c r="S35" s="25"/>
      <c r="T35" s="25"/>
      <c r="U35" s="25"/>
      <c r="V35" s="25"/>
      <c r="W35" s="25"/>
      <c r="X35" s="25"/>
      <c r="Y35" s="25"/>
    </row>
    <row r="36">
      <c r="A36" s="22">
        <v>32.0</v>
      </c>
      <c r="B36" s="22" t="s">
        <v>68</v>
      </c>
      <c r="C36" s="22" t="s">
        <v>20</v>
      </c>
      <c r="D36" s="23"/>
      <c r="E36" s="23"/>
      <c r="F36" s="23"/>
      <c r="G36" s="22">
        <v>0.0</v>
      </c>
      <c r="H36" s="23"/>
      <c r="I36" s="22">
        <v>0.0</v>
      </c>
      <c r="J36" s="22">
        <v>0.0</v>
      </c>
      <c r="K36" s="22">
        <v>0.0</v>
      </c>
      <c r="L36" s="22">
        <v>0.0</v>
      </c>
      <c r="M36" s="23"/>
      <c r="N36" s="24"/>
      <c r="O36" s="25"/>
      <c r="P36" s="25"/>
      <c r="Q36" s="25"/>
      <c r="R36" s="25"/>
      <c r="S36" s="25"/>
      <c r="T36" s="25"/>
      <c r="U36" s="25"/>
      <c r="V36" s="25"/>
      <c r="W36" s="25"/>
      <c r="X36" s="25"/>
      <c r="Y36" s="25"/>
    </row>
    <row r="37">
      <c r="A37" s="22">
        <v>33.0</v>
      </c>
      <c r="B37" s="22" t="s">
        <v>69</v>
      </c>
      <c r="C37" s="22" t="s">
        <v>20</v>
      </c>
      <c r="D37" s="23"/>
      <c r="E37" s="23"/>
      <c r="F37" s="23"/>
      <c r="G37" s="22">
        <v>0.0</v>
      </c>
      <c r="H37" s="23"/>
      <c r="I37" s="22">
        <v>0.0</v>
      </c>
      <c r="J37" s="22">
        <v>0.0</v>
      </c>
      <c r="K37" s="22">
        <v>0.0</v>
      </c>
      <c r="L37" s="22">
        <v>0.0</v>
      </c>
      <c r="M37" s="23"/>
      <c r="N37" s="24"/>
      <c r="O37" s="25"/>
      <c r="P37" s="25"/>
      <c r="Q37" s="25"/>
      <c r="R37" s="25"/>
      <c r="S37" s="25"/>
      <c r="T37" s="25"/>
      <c r="U37" s="25"/>
      <c r="V37" s="25"/>
      <c r="W37" s="25"/>
      <c r="X37" s="25"/>
      <c r="Y37" s="25"/>
    </row>
    <row r="38">
      <c r="A38" s="22">
        <v>34.0</v>
      </c>
      <c r="B38" s="22" t="s">
        <v>70</v>
      </c>
      <c r="C38" s="22" t="s">
        <v>20</v>
      </c>
      <c r="D38" s="23"/>
      <c r="E38" s="23"/>
      <c r="F38" s="23"/>
      <c r="G38" s="22">
        <v>0.0</v>
      </c>
      <c r="H38" s="23"/>
      <c r="I38" s="22">
        <v>0.0</v>
      </c>
      <c r="J38" s="22">
        <v>0.0</v>
      </c>
      <c r="K38" s="22">
        <v>0.0</v>
      </c>
      <c r="L38" s="22">
        <v>0.0</v>
      </c>
      <c r="M38" s="23"/>
      <c r="N38" s="24"/>
      <c r="O38" s="25"/>
      <c r="P38" s="25"/>
      <c r="Q38" s="25"/>
      <c r="R38" s="25"/>
      <c r="S38" s="25"/>
      <c r="T38" s="25"/>
      <c r="U38" s="25"/>
      <c r="V38" s="25"/>
      <c r="W38" s="25"/>
      <c r="X38" s="25"/>
      <c r="Y38" s="25"/>
    </row>
    <row r="39">
      <c r="A39" s="22">
        <v>35.0</v>
      </c>
      <c r="B39" s="22" t="s">
        <v>71</v>
      </c>
      <c r="C39" s="22" t="s">
        <v>20</v>
      </c>
      <c r="D39" s="23"/>
      <c r="E39" s="23"/>
      <c r="F39" s="23"/>
      <c r="G39" s="22">
        <v>0.0</v>
      </c>
      <c r="H39" s="23"/>
      <c r="I39" s="22">
        <v>0.0</v>
      </c>
      <c r="J39" s="22">
        <v>0.0</v>
      </c>
      <c r="K39" s="22">
        <v>0.0</v>
      </c>
      <c r="L39" s="22">
        <v>0.0</v>
      </c>
      <c r="M39" s="23"/>
      <c r="N39" s="24"/>
      <c r="O39" s="25"/>
      <c r="P39" s="25"/>
      <c r="Q39" s="25"/>
      <c r="R39" s="25"/>
      <c r="S39" s="25"/>
      <c r="T39" s="25"/>
      <c r="U39" s="25"/>
      <c r="V39" s="25"/>
      <c r="W39" s="25"/>
      <c r="X39" s="25"/>
      <c r="Y39" s="25"/>
    </row>
    <row r="40">
      <c r="A40" s="22">
        <v>36.0</v>
      </c>
      <c r="B40" s="22" t="s">
        <v>72</v>
      </c>
      <c r="C40" s="22" t="s">
        <v>20</v>
      </c>
      <c r="D40" s="23"/>
      <c r="E40" s="23"/>
      <c r="F40" s="23"/>
      <c r="G40" s="22">
        <v>0.0</v>
      </c>
      <c r="H40" s="23"/>
      <c r="I40" s="22">
        <v>0.0</v>
      </c>
      <c r="J40" s="22">
        <v>0.0</v>
      </c>
      <c r="K40" s="22">
        <v>0.0</v>
      </c>
      <c r="L40" s="22">
        <v>0.0</v>
      </c>
      <c r="M40" s="23"/>
      <c r="N40" s="24"/>
      <c r="O40" s="25"/>
      <c r="P40" s="25"/>
      <c r="Q40" s="25"/>
      <c r="R40" s="25"/>
      <c r="S40" s="25"/>
      <c r="T40" s="25"/>
      <c r="U40" s="25"/>
      <c r="V40" s="25"/>
      <c r="W40" s="25"/>
      <c r="X40" s="25"/>
      <c r="Y40" s="25"/>
    </row>
    <row r="41">
      <c r="A41" s="22">
        <v>37.0</v>
      </c>
      <c r="B41" s="22" t="s">
        <v>73</v>
      </c>
      <c r="C41" s="22" t="s">
        <v>20</v>
      </c>
      <c r="D41" s="23"/>
      <c r="E41" s="23"/>
      <c r="F41" s="23"/>
      <c r="G41" s="22">
        <v>0.0</v>
      </c>
      <c r="H41" s="23"/>
      <c r="I41" s="22">
        <v>0.0</v>
      </c>
      <c r="J41" s="22">
        <v>0.0</v>
      </c>
      <c r="K41" s="22">
        <v>0.0</v>
      </c>
      <c r="L41" s="22">
        <v>0.0</v>
      </c>
      <c r="M41" s="23"/>
      <c r="N41" s="24"/>
      <c r="O41" s="25"/>
      <c r="P41" s="25"/>
      <c r="Q41" s="25"/>
      <c r="R41" s="25"/>
      <c r="S41" s="25"/>
      <c r="T41" s="25"/>
      <c r="U41" s="25"/>
      <c r="V41" s="25"/>
      <c r="W41" s="25"/>
      <c r="X41" s="25"/>
      <c r="Y41" s="25"/>
    </row>
    <row r="42">
      <c r="A42" s="22">
        <v>38.0</v>
      </c>
      <c r="B42" s="22" t="s">
        <v>74</v>
      </c>
      <c r="C42" s="22" t="s">
        <v>20</v>
      </c>
      <c r="D42" s="23"/>
      <c r="E42" s="23"/>
      <c r="F42" s="23"/>
      <c r="G42" s="22">
        <v>0.0</v>
      </c>
      <c r="H42" s="23"/>
      <c r="I42" s="22">
        <v>0.0</v>
      </c>
      <c r="J42" s="22">
        <v>0.0</v>
      </c>
      <c r="K42" s="22">
        <v>0.0</v>
      </c>
      <c r="L42" s="22">
        <v>0.0</v>
      </c>
      <c r="M42" s="23"/>
      <c r="N42" s="24"/>
      <c r="O42" s="25"/>
      <c r="P42" s="25"/>
      <c r="Q42" s="25"/>
      <c r="R42" s="25"/>
      <c r="S42" s="25"/>
      <c r="T42" s="25"/>
      <c r="U42" s="25"/>
      <c r="V42" s="25"/>
      <c r="W42" s="25"/>
      <c r="X42" s="25"/>
      <c r="Y42" s="25"/>
    </row>
    <row r="43">
      <c r="A43" s="22">
        <v>39.0</v>
      </c>
      <c r="B43" s="22" t="s">
        <v>75</v>
      </c>
      <c r="C43" s="22" t="s">
        <v>20</v>
      </c>
      <c r="D43" s="23"/>
      <c r="E43" s="23"/>
      <c r="F43" s="23"/>
      <c r="G43" s="22">
        <v>0.0</v>
      </c>
      <c r="H43" s="23"/>
      <c r="I43" s="22">
        <v>0.0</v>
      </c>
      <c r="J43" s="22">
        <v>0.0</v>
      </c>
      <c r="K43" s="22">
        <v>0.0</v>
      </c>
      <c r="L43" s="22">
        <v>0.0</v>
      </c>
      <c r="M43" s="23"/>
      <c r="N43" s="24"/>
      <c r="O43" s="25"/>
      <c r="P43" s="25"/>
      <c r="Q43" s="25"/>
      <c r="R43" s="25"/>
      <c r="S43" s="25"/>
      <c r="T43" s="25"/>
      <c r="U43" s="25"/>
      <c r="V43" s="25"/>
      <c r="W43" s="25"/>
      <c r="X43" s="25"/>
      <c r="Y43" s="25"/>
    </row>
    <row r="44">
      <c r="A44" s="22">
        <v>40.0</v>
      </c>
      <c r="B44" s="22" t="s">
        <v>76</v>
      </c>
      <c r="C44" s="22" t="s">
        <v>20</v>
      </c>
      <c r="D44" s="23"/>
      <c r="E44" s="23"/>
      <c r="F44" s="23"/>
      <c r="G44" s="22">
        <v>0.0</v>
      </c>
      <c r="H44" s="23"/>
      <c r="I44" s="22">
        <v>0.0</v>
      </c>
      <c r="J44" s="22">
        <v>0.0</v>
      </c>
      <c r="K44" s="22">
        <v>0.0</v>
      </c>
      <c r="L44" s="22">
        <v>0.0</v>
      </c>
      <c r="M44" s="23"/>
      <c r="N44" s="24"/>
      <c r="O44" s="25"/>
      <c r="P44" s="25"/>
      <c r="Q44" s="25"/>
      <c r="R44" s="25"/>
      <c r="S44" s="25"/>
      <c r="T44" s="25"/>
      <c r="U44" s="25"/>
      <c r="V44" s="25"/>
      <c r="W44" s="25"/>
      <c r="X44" s="25"/>
      <c r="Y44" s="25"/>
    </row>
    <row r="45">
      <c r="A45" s="22">
        <v>41.0</v>
      </c>
      <c r="B45" s="22" t="s">
        <v>77</v>
      </c>
      <c r="C45" s="22" t="s">
        <v>20</v>
      </c>
      <c r="D45" s="23"/>
      <c r="E45" s="23"/>
      <c r="F45" s="23"/>
      <c r="G45" s="22">
        <v>0.0</v>
      </c>
      <c r="H45" s="23"/>
      <c r="I45" s="22">
        <v>0.0</v>
      </c>
      <c r="J45" s="22">
        <v>0.0</v>
      </c>
      <c r="K45" s="22">
        <v>0.0</v>
      </c>
      <c r="L45" s="22">
        <v>0.0</v>
      </c>
      <c r="M45" s="23"/>
      <c r="N45" s="24"/>
      <c r="O45" s="25"/>
      <c r="P45" s="25"/>
      <c r="Q45" s="25"/>
      <c r="R45" s="25"/>
      <c r="S45" s="25"/>
      <c r="T45" s="25"/>
      <c r="U45" s="25"/>
      <c r="V45" s="25"/>
      <c r="W45" s="25"/>
      <c r="X45" s="25"/>
      <c r="Y45" s="25"/>
    </row>
    <row r="46">
      <c r="A46" s="22">
        <v>42.0</v>
      </c>
      <c r="B46" s="22" t="s">
        <v>78</v>
      </c>
      <c r="C46" s="22" t="s">
        <v>20</v>
      </c>
      <c r="D46" s="23"/>
      <c r="E46" s="23"/>
      <c r="F46" s="23"/>
      <c r="G46" s="22">
        <v>0.0</v>
      </c>
      <c r="H46" s="23"/>
      <c r="I46" s="22">
        <v>0.0</v>
      </c>
      <c r="J46" s="22">
        <v>0.0</v>
      </c>
      <c r="K46" s="22">
        <v>0.0</v>
      </c>
      <c r="L46" s="22">
        <v>0.0</v>
      </c>
      <c r="M46" s="23"/>
      <c r="N46" s="24"/>
      <c r="O46" s="25"/>
      <c r="P46" s="25"/>
      <c r="Q46" s="25"/>
      <c r="R46" s="25"/>
      <c r="S46" s="25"/>
      <c r="T46" s="25"/>
      <c r="U46" s="25"/>
      <c r="V46" s="25"/>
      <c r="W46" s="25"/>
      <c r="X46" s="25"/>
      <c r="Y46" s="25"/>
    </row>
    <row r="47">
      <c r="A47" s="22">
        <v>43.0</v>
      </c>
      <c r="B47" s="22" t="s">
        <v>79</v>
      </c>
      <c r="C47" s="22" t="s">
        <v>20</v>
      </c>
      <c r="D47" s="23"/>
      <c r="E47" s="23"/>
      <c r="F47" s="23"/>
      <c r="G47" s="22">
        <v>0.0</v>
      </c>
      <c r="H47" s="23"/>
      <c r="I47" s="22">
        <v>0.0</v>
      </c>
      <c r="J47" s="22">
        <v>0.0</v>
      </c>
      <c r="K47" s="22">
        <v>0.0</v>
      </c>
      <c r="L47" s="22">
        <v>0.0</v>
      </c>
      <c r="M47" s="23"/>
      <c r="N47" s="24"/>
      <c r="O47" s="25"/>
      <c r="P47" s="25"/>
      <c r="Q47" s="25"/>
      <c r="R47" s="25"/>
      <c r="S47" s="25"/>
      <c r="T47" s="25"/>
      <c r="U47" s="25"/>
      <c r="V47" s="25"/>
      <c r="W47" s="25"/>
      <c r="X47" s="25"/>
      <c r="Y47" s="25"/>
    </row>
    <row r="48">
      <c r="A48" s="22">
        <v>44.0</v>
      </c>
      <c r="B48" s="22" t="s">
        <v>80</v>
      </c>
      <c r="C48" s="22" t="s">
        <v>9</v>
      </c>
      <c r="D48" s="22" t="s">
        <v>18</v>
      </c>
      <c r="E48" s="27" t="str">
        <f>HYPERLINK("https://nerimachi.jp/akiya/bukkenjouhou.php", "Link to Nerima City Property Information")
</f>
        <v>Link to Nerima City Property Information</v>
      </c>
      <c r="F48" s="23"/>
      <c r="G48" s="22">
        <v>0.0</v>
      </c>
      <c r="H48" s="23"/>
      <c r="I48" s="22">
        <v>0.0</v>
      </c>
      <c r="J48" s="22">
        <v>0.0</v>
      </c>
      <c r="K48" s="22">
        <v>0.0</v>
      </c>
      <c r="L48" s="22">
        <v>0.0</v>
      </c>
      <c r="M48" s="23"/>
      <c r="N48" s="24"/>
      <c r="O48" s="25"/>
      <c r="P48" s="25"/>
      <c r="Q48" s="25"/>
      <c r="R48" s="25"/>
      <c r="S48" s="25"/>
      <c r="T48" s="25"/>
      <c r="U48" s="25"/>
      <c r="V48" s="25"/>
      <c r="W48" s="25"/>
      <c r="X48" s="25"/>
      <c r="Y48" s="25"/>
    </row>
    <row r="49">
      <c r="A49" s="29">
        <v>45.0</v>
      </c>
      <c r="B49" s="29" t="s">
        <v>81</v>
      </c>
      <c r="C49" s="29" t="s">
        <v>9</v>
      </c>
      <c r="D49" s="29" t="s">
        <v>56</v>
      </c>
      <c r="E49" s="30" t="str">
        <f>HYPERLINK("https://www.niijima.com/teijyu/2022-0310-1133-91.html", "Link to Niijima Island Property Listing")
</f>
        <v>Link to Niijima Island Property Listing</v>
      </c>
      <c r="F49" s="31"/>
      <c r="G49" s="29">
        <v>1.0</v>
      </c>
      <c r="H49" s="31"/>
      <c r="I49" s="29">
        <v>2.0</v>
      </c>
      <c r="J49" s="29">
        <v>1.0</v>
      </c>
      <c r="K49" s="29">
        <v>1.0</v>
      </c>
      <c r="L49" s="29">
        <v>2.0</v>
      </c>
      <c r="M49" s="31"/>
      <c r="N49" s="32"/>
      <c r="O49" s="33"/>
      <c r="P49" s="33"/>
      <c r="Q49" s="33"/>
      <c r="R49" s="33"/>
      <c r="S49" s="33"/>
      <c r="T49" s="33"/>
      <c r="U49" s="33"/>
      <c r="V49" s="33"/>
      <c r="W49" s="33"/>
      <c r="X49" s="33"/>
      <c r="Y49" s="33"/>
    </row>
    <row r="50">
      <c r="A50" s="22">
        <v>46.0</v>
      </c>
      <c r="B50" s="22" t="s">
        <v>82</v>
      </c>
      <c r="C50" s="22" t="s">
        <v>20</v>
      </c>
      <c r="D50" s="23"/>
      <c r="E50" s="23"/>
      <c r="F50" s="23"/>
      <c r="G50" s="22">
        <v>0.0</v>
      </c>
      <c r="H50" s="23"/>
      <c r="I50" s="22">
        <v>0.0</v>
      </c>
      <c r="J50" s="22">
        <v>0.0</v>
      </c>
      <c r="K50" s="22">
        <v>0.0</v>
      </c>
      <c r="L50" s="22">
        <v>0.0</v>
      </c>
      <c r="M50" s="23"/>
      <c r="N50" s="24"/>
      <c r="O50" s="25"/>
      <c r="P50" s="25"/>
      <c r="Q50" s="25"/>
      <c r="R50" s="25"/>
      <c r="S50" s="25"/>
      <c r="T50" s="25"/>
      <c r="U50" s="25"/>
      <c r="V50" s="25"/>
      <c r="W50" s="25"/>
      <c r="X50" s="25"/>
      <c r="Y50" s="25"/>
    </row>
    <row r="51">
      <c r="A51" s="22">
        <v>47.0</v>
      </c>
      <c r="B51" s="22" t="s">
        <v>83</v>
      </c>
      <c r="C51" s="22" t="s">
        <v>20</v>
      </c>
      <c r="D51" s="23"/>
      <c r="E51" s="23"/>
      <c r="F51" s="23"/>
      <c r="G51" s="22">
        <v>0.0</v>
      </c>
      <c r="H51" s="23"/>
      <c r="I51" s="22">
        <v>0.0</v>
      </c>
      <c r="J51" s="22">
        <v>0.0</v>
      </c>
      <c r="K51" s="22">
        <v>0.0</v>
      </c>
      <c r="L51" s="22">
        <v>0.0</v>
      </c>
      <c r="M51" s="23"/>
      <c r="N51" s="24"/>
      <c r="O51" s="25"/>
      <c r="P51" s="25"/>
      <c r="Q51" s="25"/>
      <c r="R51" s="25"/>
      <c r="S51" s="25"/>
      <c r="T51" s="25"/>
      <c r="U51" s="25"/>
      <c r="V51" s="25"/>
      <c r="W51" s="25"/>
      <c r="X51" s="25"/>
      <c r="Y51" s="25"/>
    </row>
    <row r="52">
      <c r="A52" s="22">
        <v>48.0</v>
      </c>
      <c r="B52" s="22" t="s">
        <v>84</v>
      </c>
      <c r="C52" s="22" t="s">
        <v>9</v>
      </c>
      <c r="D52" s="22" t="s">
        <v>15</v>
      </c>
      <c r="E52" s="27" t="str">
        <f>HYPERLINK("https://www.town.okutama.tokyo.jp/kurashi/sekatsu/sumai/akiya_bank/akiya_bank_bukken.html", "Link to Okutama Town Akiya Bank")
</f>
        <v>Link to Okutama Town Akiya Bank</v>
      </c>
      <c r="F52" s="23"/>
      <c r="G52" s="22">
        <v>0.0</v>
      </c>
      <c r="H52" s="23"/>
      <c r="I52" s="22">
        <v>0.0</v>
      </c>
      <c r="J52" s="22">
        <v>0.0</v>
      </c>
      <c r="K52" s="22">
        <v>0.0</v>
      </c>
      <c r="L52" s="22">
        <v>0.0</v>
      </c>
      <c r="M52" s="23"/>
      <c r="N52" s="24"/>
      <c r="O52" s="25"/>
      <c r="P52" s="25"/>
      <c r="Q52" s="25"/>
      <c r="R52" s="25"/>
      <c r="S52" s="25"/>
      <c r="T52" s="25"/>
      <c r="U52" s="25"/>
      <c r="V52" s="25"/>
      <c r="W52" s="25"/>
      <c r="X52" s="25"/>
      <c r="Y52" s="25"/>
    </row>
    <row r="53">
      <c r="A53" s="34">
        <v>49.0</v>
      </c>
      <c r="B53" s="34" t="s">
        <v>85</v>
      </c>
      <c r="C53" s="34" t="s">
        <v>9</v>
      </c>
      <c r="D53" s="34" t="s">
        <v>86</v>
      </c>
      <c r="E53" s="35" t="str">
        <f>HYPERLINK("https://www.setagayatm.or.jp/trust/support/akiya/bukken.html#kengakukai_top", "Link to Setagaya City Akiya Listings")
</f>
        <v>Link to Setagaya City Akiya Listings</v>
      </c>
      <c r="F53" s="36"/>
      <c r="G53" s="34">
        <v>0.0</v>
      </c>
      <c r="H53" s="36"/>
      <c r="I53" s="34">
        <v>0.0</v>
      </c>
      <c r="J53" s="34">
        <v>0.0</v>
      </c>
      <c r="K53" s="34">
        <v>0.0</v>
      </c>
      <c r="L53" s="34">
        <v>0.0</v>
      </c>
      <c r="M53" s="36"/>
      <c r="N53" s="37"/>
      <c r="O53" s="38"/>
      <c r="P53" s="38"/>
      <c r="Q53" s="38"/>
      <c r="R53" s="38"/>
      <c r="S53" s="38"/>
      <c r="T53" s="38"/>
      <c r="U53" s="38"/>
      <c r="V53" s="38"/>
      <c r="W53" s="38"/>
      <c r="X53" s="38"/>
      <c r="Y53" s="38"/>
    </row>
    <row r="54">
      <c r="A54" s="22">
        <v>50.0</v>
      </c>
      <c r="B54" s="22" t="s">
        <v>87</v>
      </c>
      <c r="C54" s="22" t="s">
        <v>20</v>
      </c>
      <c r="D54" s="23"/>
      <c r="E54" s="23"/>
      <c r="F54" s="23"/>
      <c r="G54" s="22">
        <v>0.0</v>
      </c>
      <c r="H54" s="23"/>
      <c r="I54" s="22">
        <v>0.0</v>
      </c>
      <c r="J54" s="22">
        <v>0.0</v>
      </c>
      <c r="K54" s="22">
        <v>0.0</v>
      </c>
      <c r="L54" s="22">
        <v>0.0</v>
      </c>
      <c r="M54" s="23"/>
      <c r="N54" s="24"/>
      <c r="O54" s="25"/>
      <c r="P54" s="25"/>
      <c r="Q54" s="25"/>
      <c r="R54" s="25"/>
      <c r="S54" s="25"/>
      <c r="T54" s="25"/>
      <c r="U54" s="25"/>
      <c r="V54" s="25"/>
      <c r="W54" s="25"/>
      <c r="X54" s="25"/>
      <c r="Y54" s="25"/>
    </row>
    <row r="55">
      <c r="A55" s="22">
        <v>51.0</v>
      </c>
      <c r="B55" s="22" t="s">
        <v>88</v>
      </c>
      <c r="C55" s="22" t="s">
        <v>20</v>
      </c>
      <c r="D55" s="23"/>
      <c r="E55" s="23"/>
      <c r="F55" s="23"/>
      <c r="G55" s="22">
        <v>0.0</v>
      </c>
      <c r="H55" s="23"/>
      <c r="I55" s="22">
        <v>0.0</v>
      </c>
      <c r="J55" s="22">
        <v>0.0</v>
      </c>
      <c r="K55" s="22">
        <v>0.0</v>
      </c>
      <c r="L55" s="22">
        <v>0.0</v>
      </c>
      <c r="M55" s="23"/>
      <c r="N55" s="24"/>
      <c r="O55" s="25"/>
      <c r="P55" s="25"/>
      <c r="Q55" s="25"/>
      <c r="R55" s="25"/>
      <c r="S55" s="25"/>
      <c r="T55" s="25"/>
      <c r="U55" s="25"/>
      <c r="V55" s="25"/>
      <c r="W55" s="25"/>
      <c r="X55" s="25"/>
      <c r="Y55" s="25"/>
    </row>
    <row r="56">
      <c r="A56" s="22">
        <v>52.0</v>
      </c>
      <c r="B56" s="22" t="s">
        <v>89</v>
      </c>
      <c r="C56" s="22" t="s">
        <v>20</v>
      </c>
      <c r="D56" s="23"/>
      <c r="E56" s="23"/>
      <c r="F56" s="23"/>
      <c r="G56" s="22">
        <v>0.0</v>
      </c>
      <c r="H56" s="23"/>
      <c r="I56" s="22">
        <v>0.0</v>
      </c>
      <c r="J56" s="22">
        <v>0.0</v>
      </c>
      <c r="K56" s="22">
        <v>0.0</v>
      </c>
      <c r="L56" s="22">
        <v>0.0</v>
      </c>
      <c r="M56" s="23"/>
      <c r="N56" s="24"/>
      <c r="O56" s="25"/>
      <c r="P56" s="25"/>
      <c r="Q56" s="25"/>
      <c r="R56" s="25"/>
      <c r="S56" s="25"/>
      <c r="T56" s="25"/>
      <c r="U56" s="25"/>
      <c r="V56" s="25"/>
      <c r="W56" s="25"/>
      <c r="X56" s="25"/>
      <c r="Y56" s="25"/>
    </row>
    <row r="57">
      <c r="A57" s="22">
        <v>53.0</v>
      </c>
      <c r="B57" s="22" t="s">
        <v>90</v>
      </c>
      <c r="C57" s="22" t="s">
        <v>20</v>
      </c>
      <c r="D57" s="23"/>
      <c r="E57" s="23"/>
      <c r="F57" s="23"/>
      <c r="G57" s="22">
        <v>0.0</v>
      </c>
      <c r="H57" s="23"/>
      <c r="I57" s="22">
        <v>0.0</v>
      </c>
      <c r="J57" s="22">
        <v>0.0</v>
      </c>
      <c r="K57" s="22">
        <v>0.0</v>
      </c>
      <c r="L57" s="22">
        <v>0.0</v>
      </c>
      <c r="M57" s="23"/>
      <c r="N57" s="24"/>
      <c r="O57" s="25"/>
      <c r="P57" s="25"/>
      <c r="Q57" s="25"/>
      <c r="R57" s="25"/>
      <c r="S57" s="25"/>
      <c r="T57" s="25"/>
      <c r="U57" s="25"/>
      <c r="V57" s="25"/>
      <c r="W57" s="25"/>
      <c r="X57" s="25"/>
      <c r="Y57" s="25"/>
    </row>
    <row r="58">
      <c r="A58" s="22">
        <v>54.0</v>
      </c>
      <c r="B58" s="22" t="s">
        <v>91</v>
      </c>
      <c r="C58" s="22" t="s">
        <v>20</v>
      </c>
      <c r="D58" s="23"/>
      <c r="E58" s="23"/>
      <c r="F58" s="23"/>
      <c r="G58" s="22">
        <v>0.0</v>
      </c>
      <c r="H58" s="23"/>
      <c r="I58" s="22">
        <v>0.0</v>
      </c>
      <c r="J58" s="22">
        <v>0.0</v>
      </c>
      <c r="K58" s="22">
        <v>0.0</v>
      </c>
      <c r="L58" s="22">
        <v>0.0</v>
      </c>
      <c r="M58" s="23"/>
      <c r="N58" s="24"/>
      <c r="O58" s="25"/>
      <c r="P58" s="25"/>
      <c r="Q58" s="25"/>
      <c r="R58" s="25"/>
      <c r="S58" s="25"/>
      <c r="T58" s="25"/>
      <c r="U58" s="25"/>
      <c r="V58" s="25"/>
      <c r="W58" s="25"/>
      <c r="X58" s="25"/>
      <c r="Y58" s="25"/>
    </row>
    <row r="59">
      <c r="A59" s="22">
        <v>55.0</v>
      </c>
      <c r="B59" s="22" t="s">
        <v>92</v>
      </c>
      <c r="C59" s="22" t="s">
        <v>20</v>
      </c>
      <c r="D59" s="23"/>
      <c r="E59" s="23"/>
      <c r="F59" s="23"/>
      <c r="G59" s="22">
        <v>0.0</v>
      </c>
      <c r="H59" s="23"/>
      <c r="I59" s="22">
        <v>0.0</v>
      </c>
      <c r="J59" s="22">
        <v>0.0</v>
      </c>
      <c r="K59" s="22">
        <v>0.0</v>
      </c>
      <c r="L59" s="22">
        <v>0.0</v>
      </c>
      <c r="M59" s="23"/>
      <c r="N59" s="24"/>
      <c r="O59" s="25"/>
      <c r="P59" s="25"/>
      <c r="Q59" s="25"/>
      <c r="R59" s="25"/>
      <c r="S59" s="25"/>
      <c r="T59" s="25"/>
      <c r="U59" s="25"/>
      <c r="V59" s="25"/>
      <c r="W59" s="25"/>
      <c r="X59" s="25"/>
      <c r="Y59" s="25"/>
    </row>
    <row r="60">
      <c r="A60" s="22">
        <v>56.0</v>
      </c>
      <c r="B60" s="22" t="s">
        <v>93</v>
      </c>
      <c r="C60" s="22" t="s">
        <v>20</v>
      </c>
      <c r="D60" s="23"/>
      <c r="E60" s="23"/>
      <c r="F60" s="23"/>
      <c r="G60" s="22">
        <v>0.0</v>
      </c>
      <c r="H60" s="23"/>
      <c r="I60" s="22">
        <v>0.0</v>
      </c>
      <c r="J60" s="22">
        <v>0.0</v>
      </c>
      <c r="K60" s="22">
        <v>0.0</v>
      </c>
      <c r="L60" s="22">
        <v>0.0</v>
      </c>
      <c r="M60" s="23"/>
      <c r="N60" s="24"/>
      <c r="O60" s="25"/>
      <c r="P60" s="25"/>
      <c r="Q60" s="25"/>
      <c r="R60" s="25"/>
      <c r="S60" s="25"/>
      <c r="T60" s="25"/>
      <c r="U60" s="25"/>
      <c r="V60" s="25"/>
      <c r="W60" s="25"/>
      <c r="X60" s="25"/>
      <c r="Y60" s="25"/>
    </row>
    <row r="61">
      <c r="A61" s="22">
        <v>57.0</v>
      </c>
      <c r="B61" s="22" t="s">
        <v>94</v>
      </c>
      <c r="C61" s="22" t="s">
        <v>20</v>
      </c>
      <c r="D61" s="23"/>
      <c r="E61" s="23"/>
      <c r="F61" s="23"/>
      <c r="G61" s="22">
        <v>0.0</v>
      </c>
      <c r="H61" s="23"/>
      <c r="I61" s="22">
        <v>0.0</v>
      </c>
      <c r="J61" s="22">
        <v>0.0</v>
      </c>
      <c r="K61" s="22">
        <v>0.0</v>
      </c>
      <c r="L61" s="22">
        <v>0.0</v>
      </c>
      <c r="M61" s="23"/>
      <c r="N61" s="24"/>
      <c r="O61" s="25"/>
      <c r="P61" s="25"/>
      <c r="Q61" s="25"/>
      <c r="R61" s="25"/>
      <c r="S61" s="25"/>
      <c r="T61" s="25"/>
      <c r="U61" s="25"/>
      <c r="V61" s="25"/>
      <c r="W61" s="25"/>
      <c r="X61" s="25"/>
      <c r="Y61" s="25"/>
    </row>
    <row r="62">
      <c r="A62" s="22">
        <v>58.0</v>
      </c>
      <c r="B62" s="22" t="s">
        <v>95</v>
      </c>
      <c r="C62" s="22" t="s">
        <v>20</v>
      </c>
      <c r="D62" s="23"/>
      <c r="E62" s="23"/>
      <c r="F62" s="23"/>
      <c r="G62" s="22">
        <v>0.0</v>
      </c>
      <c r="H62" s="23"/>
      <c r="I62" s="22">
        <v>0.0</v>
      </c>
      <c r="J62" s="22">
        <v>0.0</v>
      </c>
      <c r="K62" s="22">
        <v>0.0</v>
      </c>
      <c r="L62" s="22">
        <v>0.0</v>
      </c>
      <c r="M62" s="23"/>
      <c r="N62" s="24"/>
      <c r="O62" s="25"/>
      <c r="P62" s="25"/>
      <c r="Q62" s="25"/>
      <c r="R62" s="25"/>
      <c r="S62" s="25"/>
      <c r="T62" s="25"/>
      <c r="U62" s="25"/>
      <c r="V62" s="25"/>
      <c r="W62" s="25"/>
      <c r="X62" s="25"/>
      <c r="Y62" s="25"/>
    </row>
    <row r="63">
      <c r="A63" s="34">
        <v>59.0</v>
      </c>
      <c r="B63" s="34" t="s">
        <v>96</v>
      </c>
      <c r="C63" s="34" t="s">
        <v>97</v>
      </c>
      <c r="D63" s="36"/>
      <c r="E63" s="35" t="str">
        <f>HYPERLINK("https://kyoju-shien-toshima.com/%e3%81%a8%e3%81%97%e3%81%be%e5%b1%85%e4%bd%8f%e6%94%af%e6%8f%b4%e3%83%90%e3%83%b3%e3%82%af/", "Link to Toshima City Housing Support Bank")
</f>
        <v>Link to Toshima City Housing Support Bank</v>
      </c>
      <c r="F63" s="36"/>
      <c r="G63" s="34">
        <v>11.0</v>
      </c>
      <c r="H63" s="36"/>
      <c r="I63" s="34">
        <v>10.0</v>
      </c>
      <c r="J63" s="34">
        <v>11.0</v>
      </c>
      <c r="K63" s="34">
        <v>12.0</v>
      </c>
      <c r="L63" s="34">
        <v>9.0</v>
      </c>
      <c r="M63" s="36"/>
      <c r="N63" s="37"/>
      <c r="O63" s="38"/>
      <c r="P63" s="38"/>
      <c r="Q63" s="38"/>
      <c r="R63" s="38"/>
      <c r="S63" s="38"/>
      <c r="T63" s="38"/>
      <c r="U63" s="38"/>
      <c r="V63" s="38"/>
      <c r="W63" s="38"/>
      <c r="X63" s="38"/>
      <c r="Y63" s="38"/>
    </row>
    <row r="64">
      <c r="A64" s="29">
        <v>60.0</v>
      </c>
      <c r="B64" s="29" t="s">
        <v>98</v>
      </c>
      <c r="C64" s="29" t="s">
        <v>56</v>
      </c>
      <c r="D64" s="31"/>
      <c r="E64" s="30" t="str">
        <f>HYPERLINK("https://www.city.ome.tokyo.jp/site/ome-style/1420.html", "Link to Ome City Official Website")
</f>
        <v>Link to Ome City Official Website</v>
      </c>
      <c r="F64" s="31"/>
      <c r="G64" s="29">
        <v>2.0</v>
      </c>
      <c r="H64" s="31"/>
      <c r="I64" s="29">
        <v>5.0</v>
      </c>
      <c r="J64" s="29">
        <v>9.0</v>
      </c>
      <c r="K64" s="29">
        <v>4.0</v>
      </c>
      <c r="L64" s="29">
        <v>4.0</v>
      </c>
      <c r="M64" s="31"/>
      <c r="N64" s="32"/>
      <c r="O64" s="33"/>
      <c r="P64" s="33"/>
      <c r="Q64" s="33"/>
      <c r="R64" s="33"/>
      <c r="S64" s="33"/>
      <c r="T64" s="33"/>
      <c r="U64" s="33"/>
      <c r="V64" s="33"/>
      <c r="W64" s="33"/>
      <c r="X64" s="33"/>
      <c r="Y64" s="33"/>
    </row>
    <row r="65">
      <c r="A65" s="34">
        <v>61.0</v>
      </c>
      <c r="B65" s="34" t="s">
        <v>99</v>
      </c>
      <c r="C65" s="34" t="s">
        <v>97</v>
      </c>
      <c r="D65" s="36"/>
      <c r="E65" s="39" t="str">
        <f>HYPERLINK("https://www.oshima-akiya.jp/bukken/", "Link to Oshima Akiya Property Listings")
</f>
        <v>Link to Oshima Akiya Property Listings</v>
      </c>
      <c r="F65" s="36"/>
      <c r="G65" s="34">
        <v>1.0</v>
      </c>
      <c r="H65" s="36"/>
      <c r="I65" s="34">
        <v>1.0</v>
      </c>
      <c r="J65" s="34">
        <v>1.0</v>
      </c>
      <c r="K65" s="34">
        <v>3.0</v>
      </c>
      <c r="L65" s="34">
        <v>5.0</v>
      </c>
      <c r="M65" s="36"/>
      <c r="N65" s="37"/>
      <c r="O65" s="38"/>
      <c r="P65" s="38"/>
      <c r="Q65" s="38"/>
      <c r="R65" s="38"/>
      <c r="S65" s="38"/>
      <c r="T65" s="38"/>
      <c r="U65" s="38"/>
      <c r="V65" s="38"/>
      <c r="W65" s="38"/>
      <c r="X65" s="38"/>
      <c r="Y65" s="38"/>
    </row>
    <row r="66">
      <c r="A66" s="22">
        <v>62.0</v>
      </c>
      <c r="B66" s="22" t="s">
        <v>100</v>
      </c>
      <c r="C66" s="22" t="s">
        <v>20</v>
      </c>
      <c r="D66" s="23"/>
      <c r="E66" s="23"/>
      <c r="F66" s="23"/>
      <c r="G66" s="22">
        <v>0.0</v>
      </c>
      <c r="H66" s="23"/>
      <c r="I66" s="22">
        <v>0.0</v>
      </c>
      <c r="J66" s="22">
        <v>0.0</v>
      </c>
      <c r="K66" s="22">
        <v>0.0</v>
      </c>
      <c r="L66" s="22">
        <v>0.0</v>
      </c>
      <c r="M66" s="23"/>
      <c r="N66" s="24"/>
      <c r="O66" s="25"/>
      <c r="P66" s="25"/>
      <c r="Q66" s="25"/>
      <c r="R66" s="25"/>
      <c r="S66" s="25"/>
      <c r="T66" s="25"/>
      <c r="U66" s="25"/>
      <c r="V66" s="25"/>
      <c r="W66" s="25"/>
      <c r="X66" s="25"/>
      <c r="Y66" s="25"/>
    </row>
    <row r="67">
      <c r="G67" s="40">
        <f>sum(G5:G66)</f>
        <v>18</v>
      </c>
      <c r="I67" s="1">
        <v>20.0</v>
      </c>
      <c r="J67" s="41">
        <v>25.0</v>
      </c>
      <c r="K67" s="1">
        <v>24.0</v>
      </c>
      <c r="L67" s="1">
        <v>23.0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25"/>
    <col customWidth="1" min="4" max="4" width="26.88"/>
    <col customWidth="1" min="5" max="5" width="39.88"/>
    <col customWidth="1" min="6" max="6" width="18.25"/>
  </cols>
  <sheetData>
    <row r="2">
      <c r="A2" s="2" t="s">
        <v>33</v>
      </c>
    </row>
    <row r="3">
      <c r="F3" s="3" t="s">
        <v>2</v>
      </c>
    </row>
    <row r="4">
      <c r="A4" s="4" t="s">
        <v>3</v>
      </c>
      <c r="B4" s="4" t="s">
        <v>4</v>
      </c>
      <c r="C4" s="4" t="s">
        <v>5</v>
      </c>
      <c r="D4" s="4" t="s">
        <v>6</v>
      </c>
      <c r="E4" s="4" t="s">
        <v>7</v>
      </c>
      <c r="F4" s="6">
        <v>45323.0</v>
      </c>
      <c r="G4" s="7">
        <v>45352.0</v>
      </c>
      <c r="H4" s="8">
        <v>45383.0</v>
      </c>
      <c r="I4" s="6">
        <v>45474.0</v>
      </c>
      <c r="J4" s="9">
        <v>45505.0</v>
      </c>
      <c r="K4" s="42">
        <v>45620.0</v>
      </c>
      <c r="L4" s="11"/>
      <c r="M4" s="11"/>
      <c r="N4" s="10"/>
    </row>
    <row r="5">
      <c r="A5" s="29">
        <v>1.0</v>
      </c>
      <c r="B5" s="29" t="s">
        <v>101</v>
      </c>
      <c r="C5" s="29" t="s">
        <v>9</v>
      </c>
      <c r="D5" s="29" t="s">
        <v>56</v>
      </c>
      <c r="E5" s="30" t="str">
        <f>HYPERLINK("http://bank.osaka-sumai-refo.com/akiya/nose", "Link to Osaka Sumai Refo Bank Nose")</f>
        <v>Link to Osaka Sumai Refo Bank Nose</v>
      </c>
      <c r="F5" s="29">
        <v>8.0</v>
      </c>
      <c r="G5" s="29"/>
      <c r="H5" s="29">
        <v>4.0</v>
      </c>
      <c r="I5" s="29">
        <v>5.0</v>
      </c>
      <c r="J5" s="29">
        <v>6.0</v>
      </c>
      <c r="K5" s="29">
        <v>3.0</v>
      </c>
      <c r="L5" s="31"/>
      <c r="M5" s="31"/>
      <c r="N5" s="32"/>
      <c r="O5" s="33"/>
      <c r="P5" s="33"/>
      <c r="Q5" s="33"/>
      <c r="R5" s="33"/>
      <c r="S5" s="33"/>
      <c r="T5" s="33"/>
      <c r="U5" s="33"/>
      <c r="V5" s="33"/>
      <c r="W5" s="33"/>
      <c r="X5" s="33"/>
      <c r="Y5" s="33"/>
    </row>
    <row r="6">
      <c r="A6" s="29">
        <v>2.0</v>
      </c>
      <c r="B6" s="29" t="s">
        <v>102</v>
      </c>
      <c r="C6" s="29" t="s">
        <v>9</v>
      </c>
      <c r="D6" s="31"/>
      <c r="E6" s="30" t="str">
        <f>HYPERLINK("http://bank.osaka-sumai-refo.com/ouchi/toyono", "Link to Osaka Sumai Refo Bank Toyono")</f>
        <v>Link to Osaka Sumai Refo Bank Toyono</v>
      </c>
      <c r="F6" s="29">
        <v>0.0</v>
      </c>
      <c r="G6" s="29"/>
      <c r="H6" s="29">
        <v>0.0</v>
      </c>
      <c r="I6" s="29">
        <v>0.0</v>
      </c>
      <c r="J6" s="29">
        <v>0.0</v>
      </c>
      <c r="K6" s="29">
        <v>0.0</v>
      </c>
      <c r="L6" s="31"/>
      <c r="M6" s="31"/>
      <c r="N6" s="32"/>
      <c r="O6" s="33"/>
      <c r="P6" s="33"/>
      <c r="Q6" s="33"/>
      <c r="R6" s="33"/>
      <c r="S6" s="33"/>
      <c r="T6" s="33"/>
      <c r="U6" s="33"/>
      <c r="V6" s="33"/>
      <c r="W6" s="33"/>
      <c r="X6" s="33"/>
      <c r="Y6" s="33"/>
    </row>
    <row r="7">
      <c r="A7" s="22">
        <v>3.0</v>
      </c>
      <c r="B7" s="22" t="s">
        <v>103</v>
      </c>
      <c r="C7" s="22" t="s">
        <v>20</v>
      </c>
      <c r="D7" s="23"/>
      <c r="E7" s="23"/>
      <c r="F7" s="22">
        <v>0.0</v>
      </c>
      <c r="G7" s="22"/>
      <c r="H7" s="22">
        <v>0.0</v>
      </c>
      <c r="I7" s="22">
        <v>0.0</v>
      </c>
      <c r="J7" s="22">
        <v>0.0</v>
      </c>
      <c r="K7" s="22">
        <v>0.0</v>
      </c>
      <c r="L7" s="23"/>
      <c r="M7" s="23"/>
      <c r="N7" s="24"/>
      <c r="O7" s="25"/>
      <c r="P7" s="25"/>
      <c r="Q7" s="25"/>
      <c r="R7" s="25"/>
      <c r="S7" s="25"/>
      <c r="T7" s="25"/>
      <c r="U7" s="25"/>
      <c r="V7" s="25"/>
      <c r="W7" s="25"/>
      <c r="X7" s="25"/>
      <c r="Y7" s="25"/>
    </row>
    <row r="8">
      <c r="A8" s="22">
        <v>4.0</v>
      </c>
      <c r="B8" s="22" t="s">
        <v>104</v>
      </c>
      <c r="C8" s="22" t="s">
        <v>20</v>
      </c>
      <c r="D8" s="23"/>
      <c r="E8" s="23"/>
      <c r="F8" s="22">
        <v>0.0</v>
      </c>
      <c r="G8" s="22"/>
      <c r="H8" s="22">
        <v>0.0</v>
      </c>
      <c r="I8" s="22">
        <v>0.0</v>
      </c>
      <c r="J8" s="22">
        <v>0.0</v>
      </c>
      <c r="K8" s="22">
        <v>0.0</v>
      </c>
      <c r="L8" s="23"/>
      <c r="M8" s="23"/>
      <c r="N8" s="24"/>
      <c r="O8" s="25"/>
      <c r="P8" s="25"/>
      <c r="Q8" s="25"/>
      <c r="R8" s="25"/>
      <c r="S8" s="25"/>
      <c r="T8" s="25"/>
      <c r="U8" s="25"/>
      <c r="V8" s="25"/>
      <c r="W8" s="25"/>
      <c r="X8" s="25"/>
      <c r="Y8" s="25"/>
    </row>
    <row r="9">
      <c r="A9" s="22">
        <v>5.0</v>
      </c>
      <c r="B9" s="22" t="s">
        <v>105</v>
      </c>
      <c r="C9" s="22" t="s">
        <v>20</v>
      </c>
      <c r="D9" s="22" t="s">
        <v>15</v>
      </c>
      <c r="E9" s="43"/>
      <c r="F9" s="22">
        <v>0.0</v>
      </c>
      <c r="G9" s="22"/>
      <c r="H9" s="22">
        <v>0.0</v>
      </c>
      <c r="I9" s="22">
        <v>0.0</v>
      </c>
      <c r="J9" s="22">
        <v>0.0</v>
      </c>
      <c r="K9" s="22">
        <v>0.0</v>
      </c>
      <c r="L9" s="23"/>
      <c r="M9" s="23"/>
      <c r="N9" s="24"/>
      <c r="O9" s="25"/>
      <c r="P9" s="25"/>
      <c r="Q9" s="25"/>
      <c r="R9" s="25"/>
      <c r="S9" s="25"/>
      <c r="T9" s="25"/>
      <c r="U9" s="25"/>
      <c r="V9" s="25"/>
      <c r="W9" s="25"/>
      <c r="X9" s="25"/>
      <c r="Y9" s="25"/>
    </row>
    <row r="10">
      <c r="A10" s="29">
        <v>6.0</v>
      </c>
      <c r="B10" s="29" t="s">
        <v>106</v>
      </c>
      <c r="C10" s="29" t="s">
        <v>9</v>
      </c>
      <c r="D10" s="29" t="s">
        <v>56</v>
      </c>
      <c r="E10" s="30" t="str">
        <f>HYPERLINK("https://www.city.bunkyo.lg.jp/bosai/machizukuri/akiyataisaku/akiyarikatuyou.html", "Link to Bunkyo City Akiyarikatuyou")</f>
        <v>Link to Bunkyo City Akiyarikatuyou</v>
      </c>
      <c r="F10" s="29">
        <v>4.0</v>
      </c>
      <c r="G10" s="29"/>
      <c r="H10" s="29">
        <v>3.0</v>
      </c>
      <c r="I10" s="29">
        <v>3.0</v>
      </c>
      <c r="J10" s="29">
        <v>2.0</v>
      </c>
      <c r="K10" s="29">
        <v>3.0</v>
      </c>
      <c r="L10" s="31"/>
      <c r="M10" s="31"/>
      <c r="N10" s="32"/>
      <c r="O10" s="33"/>
      <c r="P10" s="33"/>
      <c r="Q10" s="33"/>
      <c r="R10" s="33"/>
      <c r="S10" s="33"/>
      <c r="T10" s="33"/>
      <c r="U10" s="33"/>
      <c r="V10" s="33"/>
      <c r="W10" s="33"/>
      <c r="X10" s="33"/>
      <c r="Y10" s="33"/>
    </row>
    <row r="11">
      <c r="A11" s="22">
        <v>7.0</v>
      </c>
      <c r="B11" s="22" t="s">
        <v>107</v>
      </c>
      <c r="C11" s="22" t="s">
        <v>20</v>
      </c>
      <c r="D11" s="23"/>
      <c r="E11" s="23"/>
      <c r="F11" s="22">
        <v>0.0</v>
      </c>
      <c r="G11" s="22"/>
      <c r="H11" s="22">
        <v>0.0</v>
      </c>
      <c r="I11" s="22">
        <v>0.0</v>
      </c>
      <c r="J11" s="22">
        <v>0.0</v>
      </c>
      <c r="K11" s="22">
        <v>0.0</v>
      </c>
      <c r="L11" s="23"/>
      <c r="M11" s="23"/>
      <c r="N11" s="24"/>
      <c r="O11" s="25"/>
      <c r="P11" s="25"/>
      <c r="Q11" s="25"/>
      <c r="R11" s="25"/>
      <c r="S11" s="25"/>
      <c r="T11" s="25"/>
      <c r="U11" s="25"/>
      <c r="V11" s="25"/>
      <c r="W11" s="25"/>
      <c r="X11" s="25"/>
      <c r="Y11" s="25"/>
    </row>
    <row r="12">
      <c r="A12" s="22">
        <v>8.0</v>
      </c>
      <c r="B12" s="22" t="s">
        <v>108</v>
      </c>
      <c r="C12" s="22" t="s">
        <v>20</v>
      </c>
      <c r="D12" s="23"/>
      <c r="E12" s="23"/>
      <c r="F12" s="22">
        <v>0.0</v>
      </c>
      <c r="G12" s="22"/>
      <c r="H12" s="22">
        <v>0.0</v>
      </c>
      <c r="I12" s="22">
        <v>0.0</v>
      </c>
      <c r="J12" s="22">
        <v>0.0</v>
      </c>
      <c r="K12" s="22">
        <v>0.0</v>
      </c>
      <c r="L12" s="23"/>
      <c r="M12" s="23"/>
      <c r="N12" s="24"/>
      <c r="O12" s="25"/>
      <c r="P12" s="25"/>
      <c r="Q12" s="25"/>
      <c r="R12" s="25"/>
      <c r="S12" s="25"/>
      <c r="T12" s="25"/>
      <c r="U12" s="25"/>
      <c r="V12" s="25"/>
      <c r="W12" s="25"/>
      <c r="X12" s="25"/>
      <c r="Y12" s="25"/>
    </row>
    <row r="13">
      <c r="A13" s="22">
        <v>9.0</v>
      </c>
      <c r="B13" s="22" t="s">
        <v>109</v>
      </c>
      <c r="C13" s="22" t="s">
        <v>20</v>
      </c>
      <c r="D13" s="23"/>
      <c r="E13" s="23"/>
      <c r="F13" s="22">
        <v>0.0</v>
      </c>
      <c r="G13" s="22"/>
      <c r="H13" s="22">
        <v>0.0</v>
      </c>
      <c r="I13" s="22">
        <v>0.0</v>
      </c>
      <c r="J13" s="22">
        <v>0.0</v>
      </c>
      <c r="K13" s="22">
        <v>0.0</v>
      </c>
      <c r="L13" s="23"/>
      <c r="M13" s="23"/>
      <c r="N13" s="24"/>
      <c r="O13" s="25"/>
      <c r="P13" s="25"/>
      <c r="Q13" s="25"/>
      <c r="R13" s="25"/>
      <c r="S13" s="25"/>
      <c r="T13" s="25"/>
      <c r="U13" s="25"/>
      <c r="V13" s="25"/>
      <c r="W13" s="25"/>
      <c r="X13" s="25"/>
      <c r="Y13" s="25"/>
    </row>
    <row r="14">
      <c r="A14" s="29">
        <v>10.0</v>
      </c>
      <c r="B14" s="29" t="s">
        <v>110</v>
      </c>
      <c r="C14" s="29" t="s">
        <v>9</v>
      </c>
      <c r="D14" s="29" t="s">
        <v>56</v>
      </c>
      <c r="E14" s="44" t="str">
        <f>HYPERLINK("http://bank.osaka-sumai-refo.com/ouchi/yao", "Link to Osaka Sumai Refo Bank Yao")</f>
        <v>Link to Osaka Sumai Refo Bank Yao</v>
      </c>
      <c r="F14" s="29">
        <v>4.0</v>
      </c>
      <c r="G14" s="29"/>
      <c r="H14" s="29">
        <v>1.0</v>
      </c>
      <c r="I14" s="29">
        <v>5.0</v>
      </c>
      <c r="J14" s="29">
        <v>3.0</v>
      </c>
      <c r="K14" s="29">
        <v>2.0</v>
      </c>
      <c r="L14" s="31"/>
      <c r="M14" s="31"/>
      <c r="N14" s="32"/>
      <c r="O14" s="33"/>
      <c r="P14" s="33"/>
      <c r="Q14" s="33"/>
      <c r="R14" s="33"/>
      <c r="S14" s="33"/>
      <c r="T14" s="33"/>
      <c r="U14" s="33"/>
      <c r="V14" s="33"/>
      <c r="W14" s="33"/>
      <c r="X14" s="33"/>
      <c r="Y14" s="33"/>
    </row>
    <row r="15">
      <c r="A15" s="29">
        <v>11.0</v>
      </c>
      <c r="B15" s="29" t="s">
        <v>111</v>
      </c>
      <c r="C15" s="29" t="s">
        <v>9</v>
      </c>
      <c r="D15" s="29" t="s">
        <v>56</v>
      </c>
      <c r="E15" s="44" t="str">
        <f>HYPERLINK("http://bank.osaka-sumai-refo.com/ouchi/kashiwara", "Link to Osaka Sumai Refo Bank Kashiwara")</f>
        <v>Link to Osaka Sumai Refo Bank Kashiwara</v>
      </c>
      <c r="F15" s="29">
        <v>12.0</v>
      </c>
      <c r="G15" s="29"/>
      <c r="H15" s="29">
        <v>15.0</v>
      </c>
      <c r="I15" s="29">
        <v>3.0</v>
      </c>
      <c r="J15" s="29">
        <v>3.0</v>
      </c>
      <c r="K15" s="29">
        <v>4.0</v>
      </c>
      <c r="L15" s="31"/>
      <c r="M15" s="31"/>
      <c r="N15" s="32"/>
      <c r="O15" s="33"/>
      <c r="P15" s="33"/>
      <c r="Q15" s="33"/>
      <c r="R15" s="33"/>
      <c r="S15" s="33"/>
      <c r="T15" s="33"/>
      <c r="U15" s="33"/>
      <c r="V15" s="33"/>
      <c r="W15" s="33"/>
      <c r="X15" s="33"/>
      <c r="Y15" s="33"/>
    </row>
    <row r="16">
      <c r="A16" s="29">
        <v>12.0</v>
      </c>
      <c r="B16" s="29" t="s">
        <v>112</v>
      </c>
      <c r="C16" s="29" t="s">
        <v>9</v>
      </c>
      <c r="D16" s="29" t="s">
        <v>56</v>
      </c>
      <c r="E16" s="30" t="str">
        <f>HYPERLINK("http://bank.osaka-sumai-refo.com/ouchi/fujiidera", "Link to Osaka Sumai Refo Bank Fujiidera")</f>
        <v>Link to Osaka Sumai Refo Bank Fujiidera</v>
      </c>
      <c r="F16" s="29">
        <v>2.0</v>
      </c>
      <c r="G16" s="29"/>
      <c r="H16" s="29">
        <v>2.0</v>
      </c>
      <c r="I16" s="29">
        <v>2.0</v>
      </c>
      <c r="J16" s="29">
        <v>4.0</v>
      </c>
      <c r="K16" s="29">
        <v>1.0</v>
      </c>
      <c r="L16" s="31"/>
      <c r="M16" s="31"/>
      <c r="N16" s="32"/>
      <c r="O16" s="33"/>
      <c r="P16" s="33"/>
      <c r="Q16" s="33"/>
      <c r="R16" s="33"/>
      <c r="S16" s="33"/>
      <c r="T16" s="33"/>
      <c r="U16" s="33"/>
      <c r="V16" s="33"/>
      <c r="W16" s="33"/>
      <c r="X16" s="33"/>
      <c r="Y16" s="33"/>
    </row>
    <row r="17">
      <c r="A17" s="22">
        <v>13.0</v>
      </c>
      <c r="B17" s="22" t="s">
        <v>113</v>
      </c>
      <c r="C17" s="22" t="s">
        <v>20</v>
      </c>
      <c r="D17" s="23"/>
      <c r="E17" s="23"/>
      <c r="F17" s="22">
        <v>0.0</v>
      </c>
      <c r="G17" s="22"/>
      <c r="H17" s="22">
        <v>0.0</v>
      </c>
      <c r="I17" s="22">
        <v>0.0</v>
      </c>
      <c r="J17" s="22">
        <v>0.0</v>
      </c>
      <c r="K17" s="22">
        <v>0.0</v>
      </c>
      <c r="L17" s="23"/>
      <c r="M17" s="23"/>
      <c r="N17" s="24"/>
      <c r="O17" s="25"/>
      <c r="P17" s="25"/>
      <c r="Q17" s="25"/>
      <c r="R17" s="25"/>
      <c r="S17" s="25"/>
      <c r="T17" s="25"/>
      <c r="U17" s="25"/>
      <c r="V17" s="25"/>
      <c r="W17" s="25"/>
      <c r="X17" s="25"/>
      <c r="Y17" s="25"/>
    </row>
    <row r="18">
      <c r="A18" s="22">
        <v>14.0</v>
      </c>
      <c r="B18" s="22" t="s">
        <v>114</v>
      </c>
      <c r="C18" s="22" t="s">
        <v>20</v>
      </c>
      <c r="D18" s="23"/>
      <c r="E18" s="23"/>
      <c r="F18" s="22">
        <v>0.0</v>
      </c>
      <c r="G18" s="22"/>
      <c r="H18" s="22">
        <v>0.0</v>
      </c>
      <c r="I18" s="22">
        <v>0.0</v>
      </c>
      <c r="J18" s="22">
        <v>0.0</v>
      </c>
      <c r="K18" s="22">
        <v>0.0</v>
      </c>
      <c r="L18" s="23"/>
      <c r="M18" s="23"/>
      <c r="N18" s="24"/>
      <c r="O18" s="25"/>
      <c r="P18" s="25"/>
      <c r="Q18" s="25"/>
      <c r="R18" s="25"/>
      <c r="S18" s="25"/>
      <c r="T18" s="25"/>
      <c r="U18" s="25"/>
      <c r="V18" s="25"/>
      <c r="W18" s="25"/>
      <c r="X18" s="25"/>
      <c r="Y18" s="25"/>
    </row>
    <row r="19">
      <c r="A19" s="22">
        <v>15.0</v>
      </c>
      <c r="B19" s="22" t="s">
        <v>115</v>
      </c>
      <c r="C19" s="22" t="s">
        <v>20</v>
      </c>
      <c r="D19" s="23"/>
      <c r="E19" s="23"/>
      <c r="F19" s="22">
        <v>0.0</v>
      </c>
      <c r="G19" s="22"/>
      <c r="H19" s="22">
        <v>0.0</v>
      </c>
      <c r="I19" s="22">
        <v>0.0</v>
      </c>
      <c r="J19" s="22">
        <v>0.0</v>
      </c>
      <c r="K19" s="22">
        <v>0.0</v>
      </c>
      <c r="L19" s="23"/>
      <c r="M19" s="23"/>
      <c r="N19" s="24"/>
      <c r="O19" s="25"/>
      <c r="P19" s="25"/>
      <c r="Q19" s="25"/>
      <c r="R19" s="25"/>
      <c r="S19" s="25"/>
      <c r="T19" s="25"/>
      <c r="U19" s="25"/>
      <c r="V19" s="25"/>
      <c r="W19" s="25"/>
      <c r="X19" s="25"/>
      <c r="Y19" s="25"/>
    </row>
    <row r="20">
      <c r="A20" s="29">
        <v>16.0</v>
      </c>
      <c r="B20" s="29" t="s">
        <v>116</v>
      </c>
      <c r="C20" s="29" t="s">
        <v>9</v>
      </c>
      <c r="D20" s="29" t="s">
        <v>56</v>
      </c>
      <c r="E20" s="30" t="str">
        <f>HYPERLINK("http://bank.osaka-sumai-refo.com/ouchi/kawachinagano", "Link to Osaka Sumai Refo Bank Kawachinagano")</f>
        <v>Link to Osaka Sumai Refo Bank Kawachinagano</v>
      </c>
      <c r="F20" s="29">
        <v>1.0</v>
      </c>
      <c r="G20" s="29"/>
      <c r="H20" s="29">
        <v>1.0</v>
      </c>
      <c r="I20" s="29">
        <v>1.0</v>
      </c>
      <c r="J20" s="29">
        <v>0.0</v>
      </c>
      <c r="K20" s="29">
        <v>0.0</v>
      </c>
      <c r="L20" s="31"/>
      <c r="M20" s="31"/>
      <c r="N20" s="32"/>
      <c r="O20" s="33"/>
      <c r="P20" s="33"/>
      <c r="Q20" s="33"/>
      <c r="R20" s="33"/>
      <c r="S20" s="33"/>
      <c r="T20" s="33"/>
      <c r="U20" s="33"/>
      <c r="V20" s="33"/>
      <c r="W20" s="33"/>
      <c r="X20" s="33"/>
      <c r="Y20" s="33"/>
    </row>
    <row r="21">
      <c r="A21" s="22">
        <v>17.0</v>
      </c>
      <c r="B21" s="22" t="s">
        <v>117</v>
      </c>
      <c r="C21" s="22" t="s">
        <v>20</v>
      </c>
      <c r="D21" s="23"/>
      <c r="E21" s="23"/>
      <c r="F21" s="22">
        <v>0.0</v>
      </c>
      <c r="G21" s="22"/>
      <c r="H21" s="22">
        <v>0.0</v>
      </c>
      <c r="I21" s="22">
        <v>0.0</v>
      </c>
      <c r="J21" s="22">
        <v>0.0</v>
      </c>
      <c r="K21" s="22">
        <v>0.0</v>
      </c>
      <c r="L21" s="23"/>
      <c r="M21" s="23"/>
      <c r="N21" s="24"/>
      <c r="O21" s="25"/>
      <c r="P21" s="25"/>
      <c r="Q21" s="25"/>
      <c r="R21" s="25"/>
      <c r="S21" s="25"/>
      <c r="T21" s="25"/>
      <c r="U21" s="25"/>
      <c r="V21" s="25"/>
      <c r="W21" s="25"/>
      <c r="X21" s="25"/>
      <c r="Y21" s="25"/>
    </row>
    <row r="22">
      <c r="A22" s="22">
        <v>18.0</v>
      </c>
      <c r="B22" s="22" t="s">
        <v>118</v>
      </c>
      <c r="C22" s="22" t="s">
        <v>20</v>
      </c>
      <c r="D22" s="23"/>
      <c r="E22" s="23"/>
      <c r="F22" s="22">
        <v>0.0</v>
      </c>
      <c r="G22" s="22"/>
      <c r="H22" s="22">
        <v>0.0</v>
      </c>
      <c r="I22" s="22">
        <v>0.0</v>
      </c>
      <c r="J22" s="22">
        <v>0.0</v>
      </c>
      <c r="K22" s="22">
        <v>0.0</v>
      </c>
      <c r="L22" s="23"/>
      <c r="M22" s="23"/>
      <c r="N22" s="24"/>
      <c r="O22" s="25"/>
      <c r="P22" s="25"/>
      <c r="Q22" s="25"/>
      <c r="R22" s="25"/>
      <c r="S22" s="25"/>
      <c r="T22" s="25"/>
      <c r="U22" s="25"/>
      <c r="V22" s="25"/>
      <c r="W22" s="25"/>
      <c r="X22" s="25"/>
      <c r="Y22" s="25"/>
    </row>
    <row r="23">
      <c r="A23" s="22">
        <v>19.0</v>
      </c>
      <c r="B23" s="22" t="s">
        <v>119</v>
      </c>
      <c r="C23" s="22" t="s">
        <v>20</v>
      </c>
      <c r="D23" s="23"/>
      <c r="E23" s="23"/>
      <c r="F23" s="22">
        <v>0.0</v>
      </c>
      <c r="G23" s="22"/>
      <c r="H23" s="22">
        <v>0.0</v>
      </c>
      <c r="I23" s="22">
        <v>0.0</v>
      </c>
      <c r="J23" s="22">
        <v>0.0</v>
      </c>
      <c r="K23" s="22">
        <v>0.0</v>
      </c>
      <c r="L23" s="23"/>
      <c r="M23" s="23"/>
      <c r="N23" s="24"/>
      <c r="O23" s="25"/>
      <c r="P23" s="25"/>
      <c r="Q23" s="25"/>
      <c r="R23" s="25"/>
      <c r="S23" s="25"/>
      <c r="T23" s="25"/>
      <c r="U23" s="25"/>
      <c r="V23" s="25"/>
      <c r="W23" s="25"/>
      <c r="X23" s="25"/>
      <c r="Y23" s="25"/>
    </row>
    <row r="24">
      <c r="A24" s="29">
        <v>20.0</v>
      </c>
      <c r="B24" s="29" t="s">
        <v>120</v>
      </c>
      <c r="C24" s="29" t="s">
        <v>9</v>
      </c>
      <c r="D24" s="29" t="s">
        <v>56</v>
      </c>
      <c r="E24" s="30" t="str">
        <f>HYPERLINK("http://bank.osaka-sumai-refo.com/ouchi/takaishi", "Link to Osaka Sumai Refo Bank Takaishi")</f>
        <v>Link to Osaka Sumai Refo Bank Takaishi</v>
      </c>
      <c r="F24" s="29">
        <v>11.0</v>
      </c>
      <c r="G24" s="29"/>
      <c r="H24" s="29">
        <v>13.0</v>
      </c>
      <c r="I24" s="29">
        <v>12.0</v>
      </c>
      <c r="J24" s="29">
        <v>10.0</v>
      </c>
      <c r="K24" s="29">
        <v>9.0</v>
      </c>
      <c r="L24" s="31"/>
      <c r="M24" s="31"/>
      <c r="N24" s="32"/>
      <c r="O24" s="33"/>
      <c r="P24" s="33"/>
      <c r="Q24" s="33"/>
      <c r="R24" s="33"/>
      <c r="S24" s="33"/>
      <c r="T24" s="33"/>
      <c r="U24" s="33"/>
      <c r="V24" s="33"/>
      <c r="W24" s="33"/>
      <c r="X24" s="33"/>
      <c r="Y24" s="33"/>
    </row>
    <row r="25">
      <c r="A25" s="29">
        <v>21.0</v>
      </c>
      <c r="B25" s="29" t="s">
        <v>121</v>
      </c>
      <c r="C25" s="29" t="s">
        <v>9</v>
      </c>
      <c r="D25" s="29" t="s">
        <v>56</v>
      </c>
      <c r="E25" s="30" t="str">
        <f>HYPERLINK("http://bank.osaka-sumai-refo.com/ouchi/izumiotsu", "Link to Osaka Sumai Refo Bank Izumiotsu")</f>
        <v>Link to Osaka Sumai Refo Bank Izumiotsu</v>
      </c>
      <c r="F25" s="29">
        <v>10.0</v>
      </c>
      <c r="G25" s="29"/>
      <c r="H25" s="29">
        <v>8.0</v>
      </c>
      <c r="I25" s="29">
        <v>5.0</v>
      </c>
      <c r="J25" s="29">
        <v>3.0</v>
      </c>
      <c r="K25" s="29">
        <v>2.0</v>
      </c>
      <c r="L25" s="31"/>
      <c r="M25" s="31"/>
      <c r="N25" s="32"/>
      <c r="O25" s="33"/>
      <c r="P25" s="33"/>
      <c r="Q25" s="33"/>
      <c r="R25" s="33"/>
      <c r="S25" s="33"/>
      <c r="T25" s="33"/>
      <c r="U25" s="33"/>
      <c r="V25" s="33"/>
      <c r="W25" s="33"/>
      <c r="X25" s="33"/>
      <c r="Y25" s="33"/>
    </row>
    <row r="26">
      <c r="A26" s="29">
        <v>22.0</v>
      </c>
      <c r="B26" s="29" t="s">
        <v>122</v>
      </c>
      <c r="C26" s="29" t="s">
        <v>9</v>
      </c>
      <c r="D26" s="29" t="s">
        <v>56</v>
      </c>
      <c r="E26" s="30" t="str">
        <f>HYPERLINK("http://bank.osaka-sumai-refo.com/ouchi/izumi", "Link to Osaka Sumai Refo Bank Izumi")</f>
        <v>Link to Osaka Sumai Refo Bank Izumi</v>
      </c>
      <c r="F26" s="29">
        <v>0.0</v>
      </c>
      <c r="G26" s="29"/>
      <c r="H26" s="29">
        <v>0.0</v>
      </c>
      <c r="I26" s="29">
        <v>0.0</v>
      </c>
      <c r="J26" s="29">
        <v>0.0</v>
      </c>
      <c r="K26" s="29">
        <v>0.0</v>
      </c>
      <c r="L26" s="31"/>
      <c r="M26" s="31"/>
      <c r="N26" s="32"/>
      <c r="O26" s="33"/>
      <c r="P26" s="33"/>
      <c r="Q26" s="33"/>
      <c r="R26" s="33"/>
      <c r="S26" s="33"/>
      <c r="T26" s="33"/>
      <c r="U26" s="33"/>
      <c r="V26" s="33"/>
      <c r="W26" s="33"/>
      <c r="X26" s="33"/>
      <c r="Y26" s="33"/>
    </row>
    <row r="27">
      <c r="A27" s="22">
        <v>23.0</v>
      </c>
      <c r="B27" s="22" t="s">
        <v>123</v>
      </c>
      <c r="C27" s="22" t="s">
        <v>9</v>
      </c>
      <c r="D27" s="22" t="s">
        <v>124</v>
      </c>
      <c r="E27" s="27" t="str">
        <f>HYPERLINK("http://bank.osaka-sumai-refo.com/ouchi/kaizuka", "Link to Osaka Sumai Refo Bank Kaizuka")</f>
        <v>Link to Osaka Sumai Refo Bank Kaizuka</v>
      </c>
      <c r="F27" s="22">
        <v>0.0</v>
      </c>
      <c r="G27" s="22"/>
      <c r="H27" s="22">
        <v>0.0</v>
      </c>
      <c r="I27" s="22">
        <v>0.0</v>
      </c>
      <c r="J27" s="22">
        <v>0.0</v>
      </c>
      <c r="K27" s="22">
        <v>0.0</v>
      </c>
      <c r="L27" s="23"/>
      <c r="M27" s="23"/>
      <c r="N27" s="24"/>
      <c r="O27" s="25"/>
      <c r="P27" s="25"/>
      <c r="Q27" s="25"/>
      <c r="R27" s="25"/>
      <c r="S27" s="25"/>
      <c r="T27" s="25"/>
      <c r="U27" s="25"/>
      <c r="V27" s="25"/>
      <c r="W27" s="25"/>
      <c r="X27" s="25"/>
      <c r="Y27" s="25"/>
    </row>
    <row r="28">
      <c r="A28" s="22">
        <v>24.0</v>
      </c>
      <c r="B28" s="22" t="s">
        <v>125</v>
      </c>
      <c r="C28" s="22" t="s">
        <v>20</v>
      </c>
      <c r="D28" s="23"/>
      <c r="E28" s="23"/>
      <c r="F28" s="22">
        <v>0.0</v>
      </c>
      <c r="G28" s="22"/>
      <c r="H28" s="22">
        <v>0.0</v>
      </c>
      <c r="I28" s="22">
        <v>0.0</v>
      </c>
      <c r="J28" s="22">
        <v>0.0</v>
      </c>
      <c r="K28" s="22">
        <v>0.0</v>
      </c>
      <c r="L28" s="23"/>
      <c r="M28" s="23"/>
      <c r="N28" s="24"/>
      <c r="O28" s="25"/>
      <c r="P28" s="25"/>
      <c r="Q28" s="25"/>
      <c r="R28" s="25"/>
      <c r="S28" s="25"/>
      <c r="T28" s="25"/>
      <c r="U28" s="25"/>
      <c r="V28" s="25"/>
      <c r="W28" s="25"/>
      <c r="X28" s="25"/>
      <c r="Y28" s="25"/>
    </row>
    <row r="29">
      <c r="A29" s="22">
        <v>25.0</v>
      </c>
      <c r="B29" s="22" t="s">
        <v>126</v>
      </c>
      <c r="C29" s="22" t="s">
        <v>20</v>
      </c>
      <c r="D29" s="23"/>
      <c r="E29" s="23"/>
      <c r="F29" s="22">
        <v>0.0</v>
      </c>
      <c r="G29" s="22"/>
      <c r="H29" s="22">
        <v>0.0</v>
      </c>
      <c r="I29" s="22">
        <v>0.0</v>
      </c>
      <c r="J29" s="22">
        <v>0.0</v>
      </c>
      <c r="K29" s="22">
        <v>0.0</v>
      </c>
      <c r="L29" s="23"/>
      <c r="M29" s="23"/>
      <c r="N29" s="24"/>
      <c r="O29" s="25"/>
      <c r="P29" s="25"/>
      <c r="Q29" s="25"/>
      <c r="R29" s="25"/>
      <c r="S29" s="25"/>
      <c r="T29" s="25"/>
      <c r="U29" s="25"/>
      <c r="V29" s="25"/>
      <c r="W29" s="25"/>
      <c r="X29" s="25"/>
      <c r="Y29" s="25"/>
    </row>
    <row r="30">
      <c r="A30" s="22">
        <v>26.0</v>
      </c>
      <c r="B30" s="22" t="s">
        <v>127</v>
      </c>
      <c r="C30" s="22" t="s">
        <v>20</v>
      </c>
      <c r="D30" s="23"/>
      <c r="E30" s="23"/>
      <c r="F30" s="22">
        <v>0.0</v>
      </c>
      <c r="G30" s="22"/>
      <c r="H30" s="22">
        <v>0.0</v>
      </c>
      <c r="I30" s="22">
        <v>0.0</v>
      </c>
      <c r="J30" s="22">
        <v>0.0</v>
      </c>
      <c r="K30" s="22">
        <v>0.0</v>
      </c>
      <c r="L30" s="23"/>
      <c r="M30" s="23"/>
      <c r="N30" s="24"/>
      <c r="O30" s="25"/>
      <c r="P30" s="25"/>
      <c r="Q30" s="25"/>
      <c r="R30" s="25"/>
      <c r="S30" s="25"/>
      <c r="T30" s="25"/>
      <c r="U30" s="25"/>
      <c r="V30" s="25"/>
      <c r="W30" s="25"/>
      <c r="X30" s="25"/>
      <c r="Y30" s="25"/>
    </row>
    <row r="31">
      <c r="A31" s="22">
        <v>27.0</v>
      </c>
      <c r="B31" s="22" t="s">
        <v>128</v>
      </c>
      <c r="C31" s="22" t="s">
        <v>20</v>
      </c>
      <c r="D31" s="23"/>
      <c r="E31" s="23"/>
      <c r="F31" s="22">
        <v>0.0</v>
      </c>
      <c r="G31" s="22"/>
      <c r="H31" s="22">
        <v>0.0</v>
      </c>
      <c r="I31" s="22">
        <v>0.0</v>
      </c>
      <c r="J31" s="22">
        <v>0.0</v>
      </c>
      <c r="K31" s="22">
        <v>0.0</v>
      </c>
      <c r="L31" s="23"/>
      <c r="M31" s="23"/>
      <c r="N31" s="24"/>
      <c r="O31" s="25"/>
      <c r="P31" s="25"/>
      <c r="Q31" s="25"/>
      <c r="R31" s="25"/>
      <c r="S31" s="25"/>
      <c r="T31" s="25"/>
      <c r="U31" s="25"/>
      <c r="V31" s="25"/>
      <c r="W31" s="25"/>
      <c r="X31" s="25"/>
      <c r="Y31" s="25"/>
    </row>
    <row r="32">
      <c r="A32" s="34">
        <v>28.0</v>
      </c>
      <c r="B32" s="34" t="s">
        <v>129</v>
      </c>
      <c r="C32" s="34" t="s">
        <v>9</v>
      </c>
      <c r="D32" s="34" t="s">
        <v>130</v>
      </c>
      <c r="E32" s="35" t="str">
        <f>HYPERLINK("http://bank.osaka-sumai-refo.com/ouchi/misaki", "Link to Osaka Sumai Refo Bank Misaki")</f>
        <v>Link to Osaka Sumai Refo Bank Misaki</v>
      </c>
      <c r="F32" s="34">
        <v>0.0</v>
      </c>
      <c r="G32" s="34"/>
      <c r="H32" s="34">
        <v>2.0</v>
      </c>
      <c r="I32" s="34">
        <v>3.0</v>
      </c>
      <c r="J32" s="34">
        <v>2.0</v>
      </c>
      <c r="K32" s="34">
        <v>4.0</v>
      </c>
      <c r="L32" s="36"/>
      <c r="M32" s="36"/>
      <c r="N32" s="37"/>
      <c r="O32" s="38"/>
      <c r="P32" s="38"/>
      <c r="Q32" s="38"/>
      <c r="R32" s="38"/>
      <c r="S32" s="38"/>
      <c r="T32" s="38"/>
      <c r="U32" s="38"/>
      <c r="V32" s="38"/>
      <c r="W32" s="38"/>
      <c r="X32" s="38"/>
      <c r="Y32" s="38"/>
    </row>
    <row r="33">
      <c r="A33" s="16"/>
      <c r="B33" s="16"/>
      <c r="C33" s="16"/>
      <c r="D33" s="16"/>
      <c r="E33" s="20"/>
      <c r="F33" s="16">
        <v>52.0</v>
      </c>
      <c r="G33" s="16"/>
      <c r="H33" s="16">
        <v>49.0</v>
      </c>
      <c r="I33" s="45">
        <v>39.0</v>
      </c>
      <c r="J33" s="16">
        <v>33.0</v>
      </c>
      <c r="K33" s="16">
        <v>28.0</v>
      </c>
      <c r="L33" s="17"/>
      <c r="M33" s="17"/>
    </row>
    <row r="34">
      <c r="A34" s="16"/>
      <c r="B34" s="16"/>
      <c r="C34" s="16"/>
      <c r="D34" s="17"/>
      <c r="E34" s="17"/>
      <c r="F34" s="17"/>
      <c r="G34" s="17"/>
      <c r="H34" s="17"/>
      <c r="I34" s="17"/>
      <c r="J34" s="17"/>
      <c r="K34" s="17"/>
      <c r="L34" s="17"/>
      <c r="M34" s="17"/>
    </row>
    <row r="35">
      <c r="A35" s="16"/>
      <c r="B35" s="16"/>
      <c r="C35" s="16"/>
      <c r="D35" s="17"/>
      <c r="E35" s="17"/>
      <c r="F35" s="17"/>
      <c r="G35" s="17"/>
      <c r="H35" s="17"/>
      <c r="I35" s="17"/>
      <c r="J35" s="17"/>
      <c r="K35" s="17"/>
      <c r="L35" s="17"/>
      <c r="M35" s="17"/>
    </row>
    <row r="36">
      <c r="A36" s="16"/>
      <c r="B36" s="16"/>
      <c r="C36" s="16"/>
      <c r="D36" s="17"/>
      <c r="E36" s="17"/>
      <c r="F36" s="17"/>
      <c r="G36" s="17"/>
      <c r="H36" s="17"/>
      <c r="I36" s="17"/>
      <c r="J36" s="17"/>
      <c r="K36" s="17"/>
      <c r="L36" s="17"/>
      <c r="M36" s="17"/>
    </row>
    <row r="37">
      <c r="A37" s="16"/>
      <c r="B37" s="16"/>
      <c r="C37" s="16"/>
      <c r="D37" s="17"/>
      <c r="E37" s="17"/>
      <c r="F37" s="17"/>
      <c r="G37" s="17"/>
      <c r="H37" s="17"/>
      <c r="I37" s="17"/>
      <c r="J37" s="17"/>
      <c r="K37" s="17"/>
      <c r="L37" s="17"/>
      <c r="M37" s="17"/>
    </row>
    <row r="38">
      <c r="A38" s="16"/>
      <c r="B38" s="16"/>
      <c r="C38" s="16"/>
      <c r="D38" s="17"/>
      <c r="E38" s="17"/>
      <c r="F38" s="17"/>
      <c r="G38" s="17"/>
      <c r="H38" s="17"/>
      <c r="I38" s="17"/>
      <c r="J38" s="17"/>
      <c r="K38" s="17"/>
      <c r="L38" s="17"/>
      <c r="M38" s="17"/>
    </row>
    <row r="39">
      <c r="A39" s="16"/>
      <c r="B39" s="16"/>
      <c r="C39" s="16"/>
      <c r="D39" s="17"/>
      <c r="E39" s="17"/>
      <c r="F39" s="17"/>
      <c r="G39" s="17"/>
      <c r="H39" s="17"/>
      <c r="I39" s="17"/>
      <c r="J39" s="17"/>
      <c r="K39" s="17"/>
      <c r="L39" s="17"/>
      <c r="M39" s="17"/>
    </row>
    <row r="40">
      <c r="A40" s="16"/>
      <c r="B40" s="16"/>
      <c r="C40" s="16"/>
      <c r="D40" s="17"/>
      <c r="E40" s="17"/>
      <c r="F40" s="17"/>
      <c r="G40" s="17"/>
      <c r="H40" s="17"/>
      <c r="I40" s="17"/>
      <c r="J40" s="17"/>
      <c r="K40" s="17"/>
      <c r="L40" s="17"/>
      <c r="M40" s="17"/>
    </row>
    <row r="41">
      <c r="A41" s="16"/>
      <c r="B41" s="16"/>
      <c r="C41" s="16"/>
      <c r="D41" s="17"/>
      <c r="E41" s="17"/>
      <c r="F41" s="17"/>
      <c r="G41" s="17"/>
      <c r="H41" s="17"/>
      <c r="I41" s="17"/>
      <c r="J41" s="17"/>
      <c r="K41" s="17"/>
      <c r="L41" s="17"/>
      <c r="M41" s="17"/>
    </row>
    <row r="42">
      <c r="A42" s="16"/>
      <c r="B42" s="16"/>
      <c r="C42" s="16"/>
      <c r="D42" s="17"/>
      <c r="E42" s="17"/>
      <c r="F42" s="17"/>
      <c r="G42" s="17"/>
      <c r="H42" s="17"/>
      <c r="I42" s="17"/>
      <c r="J42" s="17"/>
      <c r="K42" s="17"/>
      <c r="L42" s="17"/>
      <c r="M42" s="17"/>
    </row>
    <row r="43">
      <c r="A43" s="16"/>
      <c r="B43" s="16"/>
      <c r="C43" s="16"/>
      <c r="D43" s="17"/>
      <c r="E43" s="17"/>
      <c r="F43" s="17"/>
      <c r="G43" s="17"/>
      <c r="H43" s="17"/>
      <c r="I43" s="17"/>
      <c r="J43" s="17"/>
      <c r="K43" s="17"/>
      <c r="L43" s="17"/>
      <c r="M43" s="17"/>
    </row>
    <row r="44">
      <c r="A44" s="16"/>
      <c r="B44" s="16"/>
      <c r="C44" s="16"/>
      <c r="D44" s="17"/>
      <c r="E44" s="17"/>
      <c r="F44" s="17"/>
      <c r="G44" s="17"/>
      <c r="H44" s="17"/>
      <c r="I44" s="17"/>
      <c r="J44" s="17"/>
      <c r="K44" s="17"/>
      <c r="L44" s="17"/>
      <c r="M44" s="17"/>
    </row>
    <row r="45">
      <c r="A45" s="16"/>
      <c r="B45" s="16"/>
      <c r="C45" s="16"/>
      <c r="D45" s="17"/>
      <c r="E45" s="17"/>
      <c r="F45" s="17"/>
      <c r="G45" s="17"/>
      <c r="H45" s="17"/>
      <c r="I45" s="17"/>
      <c r="J45" s="17"/>
      <c r="K45" s="17"/>
      <c r="L45" s="17"/>
      <c r="M45" s="17"/>
    </row>
    <row r="46">
      <c r="A46" s="16"/>
      <c r="B46" s="16"/>
      <c r="C46" s="16"/>
      <c r="D46" s="17"/>
      <c r="E46" s="17"/>
      <c r="F46" s="17"/>
      <c r="G46" s="17"/>
      <c r="H46" s="17"/>
      <c r="I46" s="17"/>
      <c r="J46" s="17"/>
      <c r="K46" s="17"/>
      <c r="L46" s="17"/>
      <c r="M46" s="17"/>
    </row>
    <row r="47">
      <c r="A47" s="16"/>
      <c r="B47" s="16"/>
      <c r="C47" s="16"/>
      <c r="D47" s="17"/>
      <c r="E47" s="17"/>
      <c r="F47" s="17"/>
      <c r="G47" s="17"/>
      <c r="H47" s="17"/>
      <c r="I47" s="17"/>
      <c r="J47" s="17"/>
      <c r="K47" s="17"/>
      <c r="L47" s="17"/>
      <c r="M47" s="17"/>
    </row>
    <row r="48">
      <c r="A48" s="16"/>
      <c r="B48" s="16"/>
      <c r="C48" s="16"/>
      <c r="D48" s="16"/>
      <c r="E48" s="20"/>
      <c r="F48" s="17"/>
      <c r="G48" s="17"/>
      <c r="H48" s="17"/>
      <c r="I48" s="17"/>
      <c r="J48" s="17"/>
      <c r="K48" s="17"/>
      <c r="L48" s="17"/>
      <c r="M48" s="17"/>
    </row>
    <row r="49">
      <c r="A49" s="16"/>
      <c r="B49" s="16"/>
      <c r="C49" s="16"/>
      <c r="D49" s="16"/>
      <c r="E49" s="20"/>
      <c r="F49" s="17"/>
      <c r="G49" s="16"/>
      <c r="H49" s="17"/>
      <c r="I49" s="17"/>
      <c r="J49" s="17"/>
      <c r="K49" s="17"/>
      <c r="L49" s="17"/>
      <c r="M49" s="17"/>
    </row>
    <row r="50">
      <c r="A50" s="16"/>
      <c r="B50" s="16"/>
      <c r="C50" s="16"/>
      <c r="D50" s="17"/>
      <c r="E50" s="17"/>
      <c r="F50" s="17"/>
      <c r="G50" s="17"/>
      <c r="H50" s="17"/>
      <c r="I50" s="17"/>
      <c r="J50" s="17"/>
      <c r="K50" s="17"/>
      <c r="L50" s="17"/>
      <c r="M50" s="17"/>
    </row>
    <row r="51">
      <c r="A51" s="16"/>
      <c r="B51" s="16"/>
      <c r="C51" s="16"/>
      <c r="D51" s="17"/>
      <c r="E51" s="17"/>
      <c r="F51" s="17"/>
      <c r="G51" s="17"/>
      <c r="H51" s="17"/>
      <c r="I51" s="17"/>
      <c r="J51" s="17"/>
      <c r="K51" s="17"/>
      <c r="L51" s="17"/>
      <c r="M51" s="17"/>
    </row>
    <row r="52">
      <c r="A52" s="16"/>
      <c r="B52" s="16"/>
      <c r="C52" s="16"/>
      <c r="D52" s="16"/>
      <c r="E52" s="20"/>
      <c r="F52" s="17"/>
      <c r="G52" s="17"/>
      <c r="H52" s="17"/>
      <c r="I52" s="17"/>
      <c r="J52" s="17"/>
      <c r="K52" s="17"/>
      <c r="L52" s="17"/>
      <c r="M52" s="17"/>
    </row>
    <row r="53">
      <c r="A53" s="16"/>
      <c r="B53" s="16"/>
      <c r="C53" s="16"/>
      <c r="D53" s="16"/>
      <c r="E53" s="20"/>
      <c r="F53" s="17"/>
      <c r="G53" s="17"/>
      <c r="H53" s="17"/>
      <c r="I53" s="17"/>
      <c r="J53" s="17"/>
      <c r="K53" s="17"/>
      <c r="L53" s="17"/>
      <c r="M53" s="17"/>
    </row>
    <row r="54">
      <c r="A54" s="16"/>
      <c r="B54" s="16"/>
      <c r="C54" s="16"/>
      <c r="D54" s="17"/>
      <c r="E54" s="17"/>
      <c r="F54" s="17"/>
      <c r="G54" s="17"/>
      <c r="H54" s="17"/>
      <c r="I54" s="17"/>
      <c r="J54" s="17"/>
      <c r="K54" s="17"/>
      <c r="L54" s="17"/>
      <c r="M54" s="17"/>
    </row>
    <row r="55">
      <c r="A55" s="16"/>
      <c r="B55" s="16"/>
      <c r="C55" s="16"/>
      <c r="D55" s="17"/>
      <c r="E55" s="17"/>
      <c r="F55" s="17"/>
      <c r="G55" s="17"/>
      <c r="H55" s="17"/>
      <c r="I55" s="17"/>
      <c r="J55" s="17"/>
      <c r="K55" s="17"/>
      <c r="L55" s="17"/>
      <c r="M55" s="17"/>
    </row>
    <row r="56">
      <c r="A56" s="16"/>
      <c r="B56" s="16"/>
      <c r="C56" s="16"/>
      <c r="D56" s="17"/>
      <c r="E56" s="17"/>
      <c r="F56" s="17"/>
      <c r="G56" s="17"/>
      <c r="H56" s="17"/>
      <c r="I56" s="17"/>
      <c r="J56" s="17"/>
      <c r="K56" s="17"/>
      <c r="L56" s="17"/>
      <c r="M56" s="17"/>
    </row>
    <row r="57">
      <c r="A57" s="16"/>
      <c r="B57" s="16"/>
      <c r="C57" s="16"/>
      <c r="D57" s="17"/>
      <c r="E57" s="17"/>
      <c r="F57" s="17"/>
      <c r="G57" s="17"/>
      <c r="H57" s="17"/>
      <c r="I57" s="17"/>
      <c r="J57" s="17"/>
      <c r="K57" s="17"/>
      <c r="L57" s="17"/>
      <c r="M57" s="17"/>
    </row>
    <row r="58">
      <c r="A58" s="16"/>
      <c r="B58" s="16"/>
      <c r="C58" s="16"/>
      <c r="D58" s="17"/>
      <c r="E58" s="17"/>
      <c r="F58" s="17"/>
      <c r="G58" s="17"/>
      <c r="H58" s="17"/>
      <c r="I58" s="17"/>
      <c r="J58" s="17"/>
      <c r="K58" s="17"/>
      <c r="L58" s="17"/>
      <c r="M58" s="17"/>
    </row>
    <row r="59">
      <c r="A59" s="16"/>
      <c r="B59" s="16"/>
      <c r="C59" s="16"/>
      <c r="D59" s="17"/>
      <c r="E59" s="17"/>
      <c r="F59" s="17"/>
      <c r="G59" s="17"/>
      <c r="H59" s="17"/>
      <c r="I59" s="17"/>
      <c r="J59" s="17"/>
      <c r="K59" s="17"/>
      <c r="L59" s="17"/>
      <c r="M59" s="17"/>
    </row>
    <row r="60">
      <c r="A60" s="16"/>
      <c r="B60" s="16"/>
      <c r="C60" s="16"/>
      <c r="D60" s="17"/>
      <c r="E60" s="17"/>
      <c r="F60" s="17"/>
      <c r="G60" s="17"/>
      <c r="H60" s="17"/>
      <c r="I60" s="17"/>
      <c r="J60" s="17"/>
      <c r="K60" s="17"/>
      <c r="L60" s="17"/>
      <c r="M60" s="17"/>
    </row>
    <row r="61">
      <c r="A61" s="16"/>
      <c r="B61" s="16"/>
      <c r="C61" s="16"/>
      <c r="D61" s="17"/>
      <c r="E61" s="17"/>
      <c r="F61" s="17"/>
      <c r="G61" s="17"/>
      <c r="H61" s="17"/>
      <c r="I61" s="17"/>
      <c r="J61" s="17"/>
      <c r="K61" s="17"/>
      <c r="L61" s="17"/>
      <c r="M61" s="17"/>
    </row>
    <row r="62">
      <c r="A62" s="16"/>
      <c r="B62" s="16"/>
      <c r="C62" s="16"/>
      <c r="D62" s="17"/>
      <c r="E62" s="17"/>
      <c r="F62" s="17"/>
      <c r="G62" s="17"/>
      <c r="H62" s="17"/>
      <c r="I62" s="17"/>
      <c r="J62" s="17"/>
      <c r="K62" s="17"/>
      <c r="L62" s="17"/>
      <c r="M62" s="17"/>
    </row>
    <row r="63">
      <c r="A63" s="16"/>
      <c r="B63" s="16"/>
      <c r="C63" s="16"/>
      <c r="D63" s="17"/>
      <c r="E63" s="20"/>
      <c r="F63" s="17"/>
      <c r="G63" s="16"/>
      <c r="H63" s="17"/>
      <c r="I63" s="17"/>
      <c r="J63" s="17"/>
      <c r="K63" s="17"/>
      <c r="L63" s="17"/>
      <c r="M63" s="17"/>
    </row>
    <row r="64">
      <c r="A64" s="16"/>
      <c r="B64" s="16"/>
      <c r="C64" s="16"/>
      <c r="D64" s="17"/>
      <c r="E64" s="20"/>
      <c r="F64" s="17"/>
      <c r="G64" s="16"/>
      <c r="H64" s="17"/>
      <c r="I64" s="17"/>
      <c r="J64" s="17"/>
      <c r="K64" s="17"/>
      <c r="L64" s="17"/>
      <c r="M64" s="17"/>
    </row>
    <row r="65">
      <c r="A65" s="16"/>
      <c r="B65" s="16"/>
      <c r="C65" s="16"/>
      <c r="D65" s="17"/>
      <c r="E65" s="21"/>
      <c r="F65" s="17"/>
      <c r="G65" s="16"/>
      <c r="H65" s="17"/>
      <c r="I65" s="17"/>
      <c r="J65" s="17"/>
      <c r="K65" s="17"/>
      <c r="L65" s="17"/>
      <c r="M65" s="17"/>
    </row>
    <row r="66">
      <c r="A66" s="16"/>
      <c r="B66" s="16"/>
      <c r="C66" s="16"/>
      <c r="D66" s="17"/>
      <c r="E66" s="17"/>
      <c r="F66" s="17"/>
      <c r="G66" s="17"/>
      <c r="H66" s="17"/>
      <c r="I66" s="17"/>
      <c r="J66" s="17"/>
      <c r="K66" s="17"/>
      <c r="L66" s="17"/>
      <c r="M66" s="1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13"/>
    <col customWidth="1" min="3" max="3" width="15.25"/>
    <col customWidth="1" min="4" max="4" width="26.88"/>
    <col customWidth="1" min="5" max="5" width="39.88"/>
    <col customWidth="1" min="6" max="6" width="18.25"/>
  </cols>
  <sheetData>
    <row r="2">
      <c r="A2" s="2" t="s">
        <v>131</v>
      </c>
    </row>
    <row r="3">
      <c r="F3" s="3" t="s">
        <v>2</v>
      </c>
    </row>
    <row r="4">
      <c r="A4" s="4" t="s">
        <v>3</v>
      </c>
      <c r="B4" s="4" t="s">
        <v>4</v>
      </c>
      <c r="C4" s="4" t="s">
        <v>5</v>
      </c>
      <c r="D4" s="4" t="s">
        <v>6</v>
      </c>
      <c r="E4" s="4" t="s">
        <v>7</v>
      </c>
      <c r="F4" s="6">
        <v>45323.0</v>
      </c>
      <c r="G4" s="6">
        <v>45352.0</v>
      </c>
      <c r="H4" s="6">
        <v>45383.0</v>
      </c>
      <c r="I4" s="6">
        <v>45474.0</v>
      </c>
      <c r="J4" s="9">
        <v>45505.0</v>
      </c>
      <c r="K4" s="42">
        <v>45620.0</v>
      </c>
      <c r="L4" s="11"/>
      <c r="M4" s="11"/>
      <c r="N4" s="10"/>
    </row>
    <row r="5">
      <c r="A5" s="34">
        <v>1.0</v>
      </c>
      <c r="B5" s="34" t="s">
        <v>132</v>
      </c>
      <c r="C5" s="34" t="s">
        <v>9</v>
      </c>
      <c r="D5" s="34" t="s">
        <v>130</v>
      </c>
      <c r="E5" s="46" t="str">
        <f>HYPERLINK("https://ijurikkoku-com.translate.goog/akiya_sell/?_x_tr_sl=ja&amp;_x_tr_tl=en&amp;_x_tr_hl=en-GB", "Link to Koyoto City Ayabe")</f>
        <v>Link to Koyoto City Ayabe</v>
      </c>
      <c r="F5" s="34">
        <v>12.0</v>
      </c>
      <c r="G5" s="34"/>
      <c r="H5" s="34">
        <v>15.0</v>
      </c>
      <c r="I5" s="36"/>
      <c r="J5" s="34">
        <v>14.0</v>
      </c>
      <c r="K5" s="34">
        <v>13.0</v>
      </c>
      <c r="L5" s="36"/>
      <c r="M5" s="36"/>
      <c r="N5" s="37"/>
      <c r="O5" s="38"/>
      <c r="P5" s="38"/>
      <c r="Q5" s="38"/>
      <c r="R5" s="38"/>
      <c r="S5" s="38"/>
      <c r="T5" s="38"/>
      <c r="U5" s="38"/>
      <c r="V5" s="38"/>
      <c r="W5" s="38"/>
      <c r="X5" s="38"/>
      <c r="Y5" s="38"/>
    </row>
    <row r="6">
      <c r="A6" s="34">
        <v>2.0</v>
      </c>
      <c r="B6" s="34" t="s">
        <v>133</v>
      </c>
      <c r="C6" s="34" t="s">
        <v>9</v>
      </c>
      <c r="D6" s="36"/>
      <c r="E6" s="46" t="str">
        <f>HYPERLINK("https://kyotohokuburenkei-jp.translate.goog/akiyasearch/?kubun=buy&amp;city=fukuchiyama&amp;_x_tr_sl=ja&amp;_x_tr_tl=en&amp;_x_tr_hl=en-GB", "Link to Koyoto City Fukuchiyama")</f>
        <v>Link to Koyoto City Fukuchiyama</v>
      </c>
      <c r="F6" s="34">
        <v>76.0</v>
      </c>
      <c r="G6" s="34"/>
      <c r="H6" s="34">
        <v>68.0</v>
      </c>
      <c r="I6" s="36"/>
      <c r="J6" s="34">
        <v>64.0</v>
      </c>
      <c r="K6" s="34">
        <v>71.0</v>
      </c>
      <c r="L6" s="36"/>
      <c r="M6" s="36"/>
      <c r="N6" s="37"/>
      <c r="O6" s="38"/>
      <c r="P6" s="38"/>
      <c r="Q6" s="38"/>
      <c r="R6" s="38"/>
      <c r="S6" s="38"/>
      <c r="T6" s="38"/>
      <c r="U6" s="38"/>
      <c r="V6" s="38"/>
      <c r="W6" s="38"/>
      <c r="X6" s="38"/>
      <c r="Y6" s="38"/>
    </row>
    <row r="7">
      <c r="A7" s="22">
        <v>3.0</v>
      </c>
      <c r="B7" s="22" t="s">
        <v>134</v>
      </c>
      <c r="C7" s="22" t="s">
        <v>9</v>
      </c>
      <c r="D7" s="22" t="s">
        <v>135</v>
      </c>
      <c r="E7" s="47" t="str">
        <f>HYPERLINK("https://www-town-ide-kyoto-jp.translate.goog/soshiki/sousei/akiyaakitibanku/akiyatourokujouhou/akiya/index.html?_x_tr_sl=ja&amp;_x_tr_tl=en&amp;_x_tr_hl=en-GB", "Link to Koyoto City Ide")</f>
        <v>Link to Koyoto City Ide</v>
      </c>
      <c r="F7" s="22">
        <v>0.0</v>
      </c>
      <c r="G7" s="22"/>
      <c r="H7" s="22">
        <v>0.0</v>
      </c>
      <c r="I7" s="23"/>
      <c r="J7" s="22">
        <v>0.0</v>
      </c>
      <c r="K7" s="22">
        <v>0.0</v>
      </c>
      <c r="L7" s="23"/>
      <c r="M7" s="23"/>
      <c r="N7" s="24"/>
      <c r="O7" s="25"/>
      <c r="P7" s="25"/>
      <c r="Q7" s="25"/>
      <c r="R7" s="25"/>
      <c r="S7" s="25"/>
      <c r="T7" s="25"/>
      <c r="U7" s="25"/>
      <c r="V7" s="25"/>
      <c r="W7" s="25"/>
      <c r="X7" s="25"/>
      <c r="Y7" s="25"/>
    </row>
    <row r="8">
      <c r="A8" s="22">
        <v>4.0</v>
      </c>
      <c r="B8" s="22" t="s">
        <v>136</v>
      </c>
      <c r="C8" s="22" t="s">
        <v>9</v>
      </c>
      <c r="D8" s="22" t="s">
        <v>15</v>
      </c>
      <c r="E8" s="23"/>
      <c r="F8" s="22">
        <v>0.0</v>
      </c>
      <c r="G8" s="22"/>
      <c r="H8" s="22">
        <v>0.0</v>
      </c>
      <c r="I8" s="23"/>
      <c r="J8" s="22">
        <v>0.0</v>
      </c>
      <c r="K8" s="22">
        <v>0.0</v>
      </c>
      <c r="L8" s="23"/>
      <c r="M8" s="23"/>
      <c r="N8" s="24"/>
      <c r="O8" s="25"/>
      <c r="P8" s="25"/>
      <c r="Q8" s="25"/>
      <c r="R8" s="25"/>
      <c r="S8" s="25"/>
      <c r="T8" s="25"/>
      <c r="U8" s="25"/>
      <c r="V8" s="25"/>
      <c r="W8" s="25"/>
      <c r="X8" s="25"/>
      <c r="Y8" s="25"/>
    </row>
    <row r="9">
      <c r="A9" s="34">
        <v>5.0</v>
      </c>
      <c r="B9" s="34" t="s">
        <v>137</v>
      </c>
      <c r="C9" s="34" t="s">
        <v>9</v>
      </c>
      <c r="D9" s="34"/>
      <c r="E9" s="48" t="str">
        <f>HYPERLINK("https://www-city-joyo-kyoto-jp.translate.goog/0000000627.html?_x_tr_sl=ja&amp;_x_tr_tl=en&amp;_x_tr_hl=en-GB", "Link to Koyoto City Joyo")</f>
        <v>Link to Koyoto City Joyo</v>
      </c>
      <c r="F9" s="34">
        <v>0.0</v>
      </c>
      <c r="G9" s="34"/>
      <c r="H9" s="34">
        <v>0.0</v>
      </c>
      <c r="I9" s="36"/>
      <c r="J9" s="34">
        <v>0.0</v>
      </c>
      <c r="K9" s="34">
        <v>0.0</v>
      </c>
      <c r="L9" s="36"/>
      <c r="M9" s="36"/>
      <c r="N9" s="37"/>
      <c r="O9" s="38"/>
      <c r="P9" s="38"/>
      <c r="Q9" s="38"/>
      <c r="R9" s="38"/>
      <c r="S9" s="38"/>
      <c r="T9" s="38"/>
      <c r="U9" s="38"/>
      <c r="V9" s="38"/>
      <c r="W9" s="38"/>
      <c r="X9" s="38"/>
      <c r="Y9" s="38"/>
    </row>
    <row r="10">
      <c r="A10" s="29">
        <v>6.0</v>
      </c>
      <c r="B10" s="29" t="s">
        <v>138</v>
      </c>
      <c r="C10" s="29" t="s">
        <v>9</v>
      </c>
      <c r="D10" s="29" t="s">
        <v>139</v>
      </c>
      <c r="E10" s="30" t="str">
        <f>HYPERLINK("https://www-city-kameoka-kyoto-jp.translate.goog/soshiki/6/1861.html?_x_tr_sl=ja&amp;_x_tr_tl=en&amp;_x_tr_hl=en-GB", "Link to Koyoto City Kameoka")</f>
        <v>Link to Koyoto City Kameoka</v>
      </c>
      <c r="F10" s="29">
        <v>0.0</v>
      </c>
      <c r="G10" s="29"/>
      <c r="H10" s="29">
        <v>0.0</v>
      </c>
      <c r="I10" s="31"/>
      <c r="J10" s="29">
        <v>0.0</v>
      </c>
      <c r="K10" s="29">
        <v>0.0</v>
      </c>
      <c r="L10" s="31"/>
      <c r="M10" s="31"/>
      <c r="N10" s="32"/>
      <c r="O10" s="33"/>
      <c r="P10" s="33"/>
      <c r="Q10" s="33"/>
      <c r="R10" s="33"/>
      <c r="S10" s="33"/>
      <c r="T10" s="33"/>
      <c r="U10" s="33"/>
      <c r="V10" s="33"/>
      <c r="W10" s="33"/>
      <c r="X10" s="33"/>
      <c r="Y10" s="33"/>
    </row>
    <row r="11">
      <c r="A11" s="29">
        <v>7.0</v>
      </c>
      <c r="B11" s="29" t="s">
        <v>140</v>
      </c>
      <c r="C11" s="29" t="s">
        <v>9</v>
      </c>
      <c r="D11" s="29" t="s">
        <v>141</v>
      </c>
      <c r="E11" s="49" t="str">
        <f>HYPERLINK("https://www.town.kasagi.lg.jp/contents_detail.php?co=ser&amp;frmId=1130", "Link to Koyoto City Kasagi")</f>
        <v>Link to Koyoto City Kasagi</v>
      </c>
      <c r="F11" s="29">
        <v>0.0</v>
      </c>
      <c r="G11" s="29"/>
      <c r="H11" s="29">
        <v>0.0</v>
      </c>
      <c r="I11" s="31"/>
      <c r="J11" s="29">
        <v>0.0</v>
      </c>
      <c r="K11" s="29">
        <v>0.0</v>
      </c>
      <c r="L11" s="31"/>
      <c r="M11" s="31"/>
      <c r="N11" s="32"/>
      <c r="O11" s="33"/>
      <c r="P11" s="33"/>
      <c r="Q11" s="33"/>
      <c r="R11" s="33"/>
      <c r="S11" s="33"/>
      <c r="T11" s="33"/>
      <c r="U11" s="33"/>
      <c r="V11" s="33"/>
      <c r="W11" s="33"/>
      <c r="X11" s="33"/>
      <c r="Y11" s="33"/>
    </row>
    <row r="12">
      <c r="A12" s="22">
        <v>8.0</v>
      </c>
      <c r="B12" s="22" t="s">
        <v>142</v>
      </c>
      <c r="C12" s="22" t="s">
        <v>20</v>
      </c>
      <c r="D12" s="23"/>
      <c r="E12" s="23"/>
      <c r="F12" s="22">
        <v>0.0</v>
      </c>
      <c r="G12" s="22"/>
      <c r="H12" s="22">
        <v>0.0</v>
      </c>
      <c r="I12" s="23"/>
      <c r="J12" s="22">
        <v>0.0</v>
      </c>
      <c r="K12" s="22">
        <v>0.0</v>
      </c>
      <c r="L12" s="23"/>
      <c r="M12" s="23"/>
      <c r="N12" s="24"/>
      <c r="O12" s="25"/>
      <c r="P12" s="25"/>
      <c r="Q12" s="25"/>
      <c r="R12" s="25"/>
      <c r="S12" s="25"/>
      <c r="T12" s="25"/>
      <c r="U12" s="25"/>
      <c r="V12" s="25"/>
      <c r="W12" s="25"/>
      <c r="X12" s="25"/>
      <c r="Y12" s="25"/>
    </row>
    <row r="13">
      <c r="A13" s="22">
        <v>9.0</v>
      </c>
      <c r="B13" s="22" t="s">
        <v>143</v>
      </c>
      <c r="C13" s="22" t="s">
        <v>9</v>
      </c>
      <c r="D13" s="22" t="s">
        <v>144</v>
      </c>
      <c r="E13" s="22"/>
      <c r="F13" s="22">
        <v>0.0</v>
      </c>
      <c r="G13" s="22"/>
      <c r="H13" s="22">
        <v>0.0</v>
      </c>
      <c r="I13" s="23"/>
      <c r="J13" s="22">
        <v>0.0</v>
      </c>
      <c r="K13" s="22">
        <v>0.0</v>
      </c>
      <c r="L13" s="23"/>
      <c r="M13" s="23"/>
      <c r="N13" s="24"/>
      <c r="O13" s="25"/>
      <c r="P13" s="25"/>
      <c r="Q13" s="25"/>
      <c r="R13" s="25"/>
      <c r="S13" s="25"/>
      <c r="T13" s="25"/>
      <c r="U13" s="25"/>
      <c r="V13" s="25"/>
      <c r="W13" s="25"/>
      <c r="X13" s="25"/>
      <c r="Y13" s="25"/>
    </row>
    <row r="14">
      <c r="A14" s="22">
        <v>10.0</v>
      </c>
      <c r="B14" s="22" t="s">
        <v>145</v>
      </c>
      <c r="C14" s="22" t="s">
        <v>9</v>
      </c>
      <c r="D14" s="22" t="s">
        <v>146</v>
      </c>
      <c r="E14" s="50" t="str">
        <f>HYPERLINK("https://toin5s-com.translate.goog/letslive/vacanthouse?_x_tr_sch=http&amp;_x_tr_sl=ja&amp;_x_tr_tl=en&amp;_x_tr_hl=en-GB", "Link to Koyoto City Kyoto")</f>
        <v>Link to Koyoto City Kyoto</v>
      </c>
      <c r="F14" s="22">
        <v>0.0</v>
      </c>
      <c r="G14" s="22"/>
      <c r="H14" s="22">
        <v>0.0</v>
      </c>
      <c r="I14" s="23"/>
      <c r="J14" s="22">
        <v>0.0</v>
      </c>
      <c r="K14" s="22">
        <v>0.0</v>
      </c>
      <c r="L14" s="23"/>
      <c r="M14" s="23"/>
      <c r="N14" s="24"/>
      <c r="O14" s="25"/>
      <c r="P14" s="25"/>
      <c r="Q14" s="25"/>
      <c r="R14" s="25"/>
      <c r="S14" s="25"/>
      <c r="T14" s="25"/>
      <c r="U14" s="25"/>
      <c r="V14" s="25"/>
      <c r="W14" s="25"/>
      <c r="X14" s="25"/>
      <c r="Y14" s="25"/>
    </row>
    <row r="15">
      <c r="A15" s="22">
        <v>11.0</v>
      </c>
      <c r="B15" s="22" t="s">
        <v>147</v>
      </c>
      <c r="C15" s="22" t="s">
        <v>9</v>
      </c>
      <c r="D15" s="22" t="s">
        <v>148</v>
      </c>
      <c r="E15" s="23"/>
      <c r="F15" s="22">
        <v>0.0</v>
      </c>
      <c r="G15" s="22"/>
      <c r="H15" s="22">
        <v>0.0</v>
      </c>
      <c r="I15" s="23"/>
      <c r="J15" s="22">
        <v>0.0</v>
      </c>
      <c r="K15" s="22">
        <v>0.0</v>
      </c>
      <c r="L15" s="23"/>
      <c r="M15" s="23"/>
      <c r="N15" s="24"/>
      <c r="O15" s="25"/>
      <c r="P15" s="25"/>
      <c r="Q15" s="25"/>
      <c r="R15" s="25"/>
      <c r="S15" s="25"/>
      <c r="T15" s="25"/>
      <c r="U15" s="25"/>
      <c r="V15" s="25"/>
      <c r="W15" s="25"/>
      <c r="X15" s="25"/>
      <c r="Y15" s="25"/>
    </row>
    <row r="16">
      <c r="A16" s="22">
        <v>12.0</v>
      </c>
      <c r="B16" s="22" t="s">
        <v>149</v>
      </c>
      <c r="C16" s="22" t="s">
        <v>20</v>
      </c>
      <c r="D16" s="23"/>
      <c r="E16" s="23"/>
      <c r="F16" s="22">
        <v>0.0</v>
      </c>
      <c r="G16" s="22"/>
      <c r="H16" s="22">
        <v>0.0</v>
      </c>
      <c r="I16" s="23"/>
      <c r="J16" s="22">
        <v>0.0</v>
      </c>
      <c r="K16" s="22">
        <v>0.0</v>
      </c>
      <c r="L16" s="23"/>
      <c r="M16" s="23"/>
      <c r="N16" s="24"/>
      <c r="O16" s="25"/>
      <c r="P16" s="25"/>
      <c r="Q16" s="25"/>
      <c r="R16" s="25"/>
      <c r="S16" s="25"/>
      <c r="T16" s="25"/>
      <c r="U16" s="25"/>
      <c r="V16" s="25"/>
      <c r="W16" s="25"/>
      <c r="X16" s="25"/>
      <c r="Y16" s="25"/>
    </row>
    <row r="17">
      <c r="A17" s="34">
        <v>13.0</v>
      </c>
      <c r="B17" s="34" t="s">
        <v>150</v>
      </c>
      <c r="C17" s="34" t="s">
        <v>9</v>
      </c>
      <c r="D17" s="34" t="s">
        <v>130</v>
      </c>
      <c r="E17" s="51" t="str">
        <f>HYPERLINK("https://kyotohokuburenkei-jp.translate.goog/akiyasearch/?kubun=buy&amp;city=kyotango&amp;_x_tr_sl=ja&amp;_x_tr_tl=en&amp;_x_tr_hl=en-GB", "Link to Koyoto City Kyotango")</f>
        <v>Link to Koyoto City Kyotango</v>
      </c>
      <c r="F17" s="34">
        <v>101.0</v>
      </c>
      <c r="G17" s="34"/>
      <c r="H17" s="34">
        <v>97.0</v>
      </c>
      <c r="I17" s="36"/>
      <c r="J17" s="34">
        <v>98.0</v>
      </c>
      <c r="K17" s="34">
        <v>90.0</v>
      </c>
      <c r="L17" s="36"/>
      <c r="M17" s="36"/>
      <c r="N17" s="37"/>
      <c r="O17" s="38"/>
      <c r="P17" s="38"/>
      <c r="Q17" s="38"/>
      <c r="R17" s="38"/>
      <c r="S17" s="38"/>
      <c r="T17" s="38"/>
      <c r="U17" s="38"/>
      <c r="V17" s="38"/>
      <c r="W17" s="38"/>
      <c r="X17" s="38"/>
      <c r="Y17" s="38"/>
    </row>
    <row r="18">
      <c r="A18" s="29">
        <v>14.0</v>
      </c>
      <c r="B18" s="29" t="s">
        <v>151</v>
      </c>
      <c r="C18" s="29" t="s">
        <v>9</v>
      </c>
      <c r="D18" s="29" t="s">
        <v>139</v>
      </c>
      <c r="E18" s="44" t="str">
        <f>HYPERLINK("https://www-city-maizuru-kyoto-jp.translate.goog/0000000926.html?_x_tr_sl=ja&amp;_x_tr_tl=en&amp;_x_tr_hl=en-GB", "Link to Koyoto City Maizuru")</f>
        <v>Link to Koyoto City Maizuru</v>
      </c>
      <c r="F18" s="29">
        <v>0.0</v>
      </c>
      <c r="G18" s="29"/>
      <c r="H18" s="29">
        <v>0.0</v>
      </c>
      <c r="I18" s="31"/>
      <c r="J18" s="29">
        <v>0.0</v>
      </c>
      <c r="K18" s="29">
        <v>0.0</v>
      </c>
      <c r="L18" s="31"/>
      <c r="M18" s="31"/>
      <c r="N18" s="32"/>
      <c r="O18" s="33"/>
      <c r="P18" s="33"/>
      <c r="Q18" s="33"/>
      <c r="R18" s="33"/>
      <c r="S18" s="33"/>
      <c r="T18" s="33"/>
      <c r="U18" s="33"/>
      <c r="V18" s="33"/>
      <c r="W18" s="33"/>
      <c r="X18" s="33"/>
      <c r="Y18" s="33"/>
    </row>
    <row r="19">
      <c r="A19" s="29">
        <v>15.0</v>
      </c>
      <c r="B19" s="29" t="s">
        <v>152</v>
      </c>
      <c r="C19" s="29" t="s">
        <v>9</v>
      </c>
      <c r="D19" s="29" t="s">
        <v>139</v>
      </c>
      <c r="E19" s="44" t="str">
        <f>HYPERLINK("https://www.vill.minamiyamashiro.lg.jp/0000001383.html", "Link to Koyoto City Minamiyamashiro")</f>
        <v>Link to Koyoto City Minamiyamashiro</v>
      </c>
      <c r="F19" s="29">
        <v>2.0</v>
      </c>
      <c r="G19" s="29"/>
      <c r="H19" s="29">
        <v>2.0</v>
      </c>
      <c r="I19" s="31"/>
      <c r="J19" s="29">
        <v>0.0</v>
      </c>
      <c r="K19" s="29">
        <v>0.0</v>
      </c>
      <c r="L19" s="31"/>
      <c r="M19" s="31"/>
      <c r="N19" s="32"/>
      <c r="O19" s="33"/>
      <c r="P19" s="33"/>
      <c r="Q19" s="33"/>
      <c r="R19" s="33"/>
      <c r="S19" s="33"/>
      <c r="T19" s="33"/>
      <c r="U19" s="33"/>
      <c r="V19" s="33"/>
      <c r="W19" s="33"/>
      <c r="X19" s="33"/>
      <c r="Y19" s="33"/>
    </row>
    <row r="20">
      <c r="A20" s="34">
        <v>16.0</v>
      </c>
      <c r="B20" s="34" t="s">
        <v>153</v>
      </c>
      <c r="C20" s="34" t="s">
        <v>9</v>
      </c>
      <c r="D20" s="34" t="s">
        <v>130</v>
      </c>
      <c r="E20" s="51" t="str">
        <f>HYPERLINK("https://kyotohokuburenkei-jp.translate.goog/akiyasearch/?kubun=buy&amp;city=miyazu&amp;_x_tr_sl=ja&amp;_x_tr_tl=en&amp;_x_tr_hl=en-GB", "Link to Koyoto City Miyazu")</f>
        <v>Link to Koyoto City Miyazu</v>
      </c>
      <c r="F20" s="34">
        <v>16.0</v>
      </c>
      <c r="G20" s="34"/>
      <c r="H20" s="34">
        <v>11.0</v>
      </c>
      <c r="I20" s="36"/>
      <c r="J20" s="34">
        <v>15.0</v>
      </c>
      <c r="K20" s="34">
        <v>12.0</v>
      </c>
      <c r="L20" s="36"/>
      <c r="M20" s="36"/>
      <c r="N20" s="37"/>
      <c r="O20" s="38"/>
      <c r="P20" s="38"/>
      <c r="Q20" s="38"/>
      <c r="R20" s="38"/>
      <c r="S20" s="38"/>
      <c r="T20" s="38"/>
      <c r="U20" s="38"/>
      <c r="V20" s="38"/>
      <c r="W20" s="38"/>
      <c r="X20" s="38"/>
      <c r="Y20" s="38"/>
    </row>
    <row r="21">
      <c r="A21" s="22">
        <v>17.0</v>
      </c>
      <c r="B21" s="22" t="s">
        <v>154</v>
      </c>
      <c r="C21" s="22" t="s">
        <v>20</v>
      </c>
      <c r="D21" s="23"/>
      <c r="E21" s="23"/>
      <c r="F21" s="22">
        <v>0.0</v>
      </c>
      <c r="G21" s="22"/>
      <c r="H21" s="22">
        <v>0.0</v>
      </c>
      <c r="I21" s="23"/>
      <c r="J21" s="22">
        <v>0.0</v>
      </c>
      <c r="K21" s="22">
        <v>0.0</v>
      </c>
      <c r="L21" s="23"/>
      <c r="M21" s="23"/>
      <c r="N21" s="24"/>
      <c r="O21" s="25"/>
      <c r="P21" s="25"/>
      <c r="Q21" s="25"/>
      <c r="R21" s="25"/>
      <c r="S21" s="25"/>
      <c r="T21" s="25"/>
      <c r="U21" s="25"/>
      <c r="V21" s="25"/>
      <c r="W21" s="25"/>
      <c r="X21" s="25"/>
      <c r="Y21" s="25"/>
    </row>
    <row r="22">
      <c r="A22" s="22">
        <v>18.0</v>
      </c>
      <c r="B22" s="22" t="s">
        <v>155</v>
      </c>
      <c r="C22" s="22" t="s">
        <v>20</v>
      </c>
      <c r="D22" s="23"/>
      <c r="E22" s="23"/>
      <c r="F22" s="22">
        <v>0.0</v>
      </c>
      <c r="G22" s="22"/>
      <c r="H22" s="22">
        <v>0.0</v>
      </c>
      <c r="I22" s="23"/>
      <c r="J22" s="22">
        <v>0.0</v>
      </c>
      <c r="K22" s="22">
        <v>0.0</v>
      </c>
      <c r="L22" s="23"/>
      <c r="M22" s="23"/>
      <c r="N22" s="24"/>
      <c r="O22" s="25"/>
      <c r="P22" s="25"/>
      <c r="Q22" s="25"/>
      <c r="R22" s="25"/>
      <c r="S22" s="25"/>
      <c r="T22" s="25"/>
      <c r="U22" s="25"/>
      <c r="V22" s="25"/>
      <c r="W22" s="25"/>
      <c r="X22" s="25"/>
      <c r="Y22" s="25"/>
    </row>
    <row r="23">
      <c r="A23" s="34">
        <v>19.0</v>
      </c>
      <c r="B23" s="34" t="s">
        <v>156</v>
      </c>
      <c r="C23" s="34" t="s">
        <v>9</v>
      </c>
      <c r="D23" s="34" t="s">
        <v>130</v>
      </c>
      <c r="E23" s="51" t="str">
        <f>HYPERLINK("https://www-nancla-jp.translate.goog/houses/?_x_tr_sl=ja&amp;_x_tr_tl=en&amp;_x_tr_hl=en-GB", "Link to Koyoto City Nantan")</f>
        <v>Link to Koyoto City Nantan</v>
      </c>
      <c r="F23" s="34">
        <v>0.0</v>
      </c>
      <c r="G23" s="34"/>
      <c r="H23" s="34">
        <v>0.0</v>
      </c>
      <c r="I23" s="36"/>
      <c r="J23" s="34">
        <v>0.0</v>
      </c>
      <c r="K23" s="34">
        <v>0.0</v>
      </c>
      <c r="L23" s="36"/>
      <c r="M23" s="36"/>
      <c r="N23" s="37"/>
      <c r="O23" s="38"/>
      <c r="P23" s="38"/>
      <c r="Q23" s="38"/>
      <c r="R23" s="38"/>
      <c r="S23" s="38"/>
      <c r="T23" s="38"/>
      <c r="U23" s="38"/>
      <c r="V23" s="38"/>
      <c r="W23" s="38"/>
      <c r="X23" s="38"/>
      <c r="Y23" s="38"/>
    </row>
    <row r="24">
      <c r="A24" s="22">
        <v>20.0</v>
      </c>
      <c r="B24" s="22" t="s">
        <v>157</v>
      </c>
      <c r="C24" s="22" t="s">
        <v>20</v>
      </c>
      <c r="D24" s="23"/>
      <c r="E24" s="23"/>
      <c r="F24" s="22">
        <v>0.0</v>
      </c>
      <c r="G24" s="22"/>
      <c r="H24" s="22">
        <v>0.0</v>
      </c>
      <c r="I24" s="23"/>
      <c r="J24" s="22">
        <v>0.0</v>
      </c>
      <c r="K24" s="22">
        <v>0.0</v>
      </c>
      <c r="L24" s="23"/>
      <c r="M24" s="23"/>
      <c r="N24" s="24"/>
      <c r="O24" s="25"/>
      <c r="P24" s="25"/>
      <c r="Q24" s="25"/>
      <c r="R24" s="25"/>
      <c r="S24" s="25"/>
      <c r="T24" s="25"/>
      <c r="U24" s="25"/>
      <c r="V24" s="25"/>
      <c r="W24" s="25"/>
      <c r="X24" s="25"/>
      <c r="Y24" s="25"/>
    </row>
    <row r="25">
      <c r="A25" s="22">
        <v>21.0</v>
      </c>
      <c r="B25" s="22" t="s">
        <v>158</v>
      </c>
      <c r="C25" s="22" t="s">
        <v>20</v>
      </c>
      <c r="D25" s="22"/>
      <c r="E25" s="43"/>
      <c r="F25" s="22">
        <v>0.0</v>
      </c>
      <c r="G25" s="22"/>
      <c r="H25" s="22">
        <v>0.0</v>
      </c>
      <c r="I25" s="23"/>
      <c r="J25" s="22">
        <v>0.0</v>
      </c>
      <c r="K25" s="22">
        <v>0.0</v>
      </c>
      <c r="L25" s="23"/>
      <c r="M25" s="23"/>
      <c r="N25" s="24"/>
      <c r="O25" s="25"/>
      <c r="P25" s="25"/>
      <c r="Q25" s="25"/>
      <c r="R25" s="25"/>
      <c r="S25" s="25"/>
      <c r="T25" s="25"/>
      <c r="U25" s="25"/>
      <c r="V25" s="25"/>
      <c r="W25" s="25"/>
      <c r="X25" s="25"/>
      <c r="Y25" s="25"/>
    </row>
    <row r="26">
      <c r="A26" s="34">
        <v>22.0</v>
      </c>
      <c r="B26" s="34" t="s">
        <v>159</v>
      </c>
      <c r="C26" s="34" t="s">
        <v>9</v>
      </c>
      <c r="D26" s="34" t="s">
        <v>160</v>
      </c>
      <c r="E26" s="36"/>
      <c r="F26" s="34">
        <v>0.0</v>
      </c>
      <c r="G26" s="34"/>
      <c r="H26" s="34">
        <v>0.0</v>
      </c>
      <c r="I26" s="36"/>
      <c r="J26" s="34">
        <v>0.0</v>
      </c>
      <c r="K26" s="34">
        <v>0.0</v>
      </c>
      <c r="L26" s="36"/>
      <c r="M26" s="36"/>
      <c r="N26" s="37"/>
      <c r="O26" s="38"/>
      <c r="P26" s="38"/>
      <c r="Q26" s="38"/>
      <c r="R26" s="38"/>
      <c r="S26" s="38"/>
      <c r="T26" s="38"/>
      <c r="U26" s="38"/>
      <c r="V26" s="38"/>
      <c r="W26" s="38"/>
      <c r="X26" s="38"/>
      <c r="Y26" s="38"/>
    </row>
    <row r="27">
      <c r="A27" s="29">
        <v>23.0</v>
      </c>
      <c r="B27" s="29" t="s">
        <v>161</v>
      </c>
      <c r="C27" s="29" t="s">
        <v>9</v>
      </c>
      <c r="D27" s="29" t="s">
        <v>162</v>
      </c>
      <c r="E27" s="44" t="str">
        <f>HYPERLINK("https://www.town.wazuka.lg.jp/iju_navi/akiya/3138.html", "Link to Koyoto City Wazuka")</f>
        <v>Link to Koyoto City Wazuka</v>
      </c>
      <c r="F27" s="29">
        <v>12.0</v>
      </c>
      <c r="G27" s="29"/>
      <c r="H27" s="29">
        <v>7.0</v>
      </c>
      <c r="I27" s="31"/>
      <c r="J27" s="29">
        <v>3.0</v>
      </c>
      <c r="K27" s="29">
        <v>3.0</v>
      </c>
      <c r="L27" s="31"/>
      <c r="M27" s="31"/>
      <c r="N27" s="32"/>
      <c r="O27" s="33"/>
      <c r="P27" s="33"/>
      <c r="Q27" s="33"/>
      <c r="R27" s="33"/>
      <c r="S27" s="33"/>
      <c r="T27" s="33"/>
      <c r="U27" s="33"/>
      <c r="V27" s="33"/>
      <c r="W27" s="33"/>
      <c r="X27" s="33"/>
      <c r="Y27" s="33"/>
    </row>
    <row r="28">
      <c r="A28" s="22">
        <v>24.0</v>
      </c>
      <c r="B28" s="22" t="s">
        <v>163</v>
      </c>
      <c r="C28" s="22" t="s">
        <v>20</v>
      </c>
      <c r="D28" s="23"/>
      <c r="E28" s="23"/>
      <c r="F28" s="22">
        <v>0.0</v>
      </c>
      <c r="G28" s="22"/>
      <c r="H28" s="22">
        <v>0.0</v>
      </c>
      <c r="I28" s="23"/>
      <c r="J28" s="22">
        <v>0.0</v>
      </c>
      <c r="K28" s="22">
        <v>0.0</v>
      </c>
      <c r="L28" s="23"/>
      <c r="M28" s="23"/>
      <c r="N28" s="24"/>
      <c r="O28" s="25"/>
      <c r="P28" s="25"/>
      <c r="Q28" s="25"/>
      <c r="R28" s="25"/>
      <c r="S28" s="25"/>
      <c r="T28" s="25"/>
      <c r="U28" s="25"/>
      <c r="V28" s="25"/>
      <c r="W28" s="25"/>
      <c r="X28" s="25"/>
      <c r="Y28" s="25"/>
    </row>
    <row r="29">
      <c r="A29" s="34">
        <v>25.0</v>
      </c>
      <c r="B29" s="34" t="s">
        <v>164</v>
      </c>
      <c r="C29" s="34" t="s">
        <v>9</v>
      </c>
      <c r="D29" s="36"/>
      <c r="E29" s="51" t="str">
        <f>HYPERLINK("https://kyotohokuburenkei.jp/akiyasearch/?kubun=buyrent&amp;city=yosano", "Link to Koyoto City Yosano")</f>
        <v>Link to Koyoto City Yosano</v>
      </c>
      <c r="F29" s="34">
        <v>16.0</v>
      </c>
      <c r="G29" s="34"/>
      <c r="H29" s="34">
        <v>14.0</v>
      </c>
      <c r="I29" s="36"/>
      <c r="J29" s="34">
        <v>10.0</v>
      </c>
      <c r="K29" s="34">
        <v>7.0</v>
      </c>
      <c r="L29" s="36"/>
      <c r="M29" s="36"/>
      <c r="N29" s="37"/>
      <c r="O29" s="38"/>
      <c r="P29" s="38"/>
      <c r="Q29" s="38"/>
      <c r="R29" s="38"/>
      <c r="S29" s="38"/>
      <c r="T29" s="38"/>
      <c r="U29" s="38"/>
      <c r="V29" s="38"/>
      <c r="W29" s="38"/>
      <c r="X29" s="38"/>
      <c r="Y29" s="38"/>
    </row>
    <row r="30">
      <c r="A30" s="22">
        <v>26.0</v>
      </c>
      <c r="B30" s="22" t="s">
        <v>165</v>
      </c>
      <c r="C30" s="22" t="s">
        <v>20</v>
      </c>
      <c r="D30" s="23"/>
      <c r="E30" s="23"/>
      <c r="F30" s="22">
        <v>0.0</v>
      </c>
      <c r="G30" s="22"/>
      <c r="H30" s="22">
        <v>0.0</v>
      </c>
      <c r="I30" s="23"/>
      <c r="J30" s="22">
        <v>0.0</v>
      </c>
      <c r="K30" s="22">
        <v>0.0</v>
      </c>
      <c r="L30" s="23"/>
      <c r="M30" s="23"/>
      <c r="N30" s="24"/>
      <c r="O30" s="25"/>
      <c r="P30" s="25"/>
      <c r="Q30" s="25"/>
      <c r="R30" s="25"/>
      <c r="S30" s="25"/>
      <c r="T30" s="25"/>
      <c r="U30" s="25"/>
      <c r="V30" s="25"/>
      <c r="W30" s="25"/>
      <c r="X30" s="25"/>
      <c r="Y30" s="25"/>
    </row>
    <row r="31">
      <c r="A31" s="3"/>
      <c r="B31" s="3"/>
      <c r="C31" s="3"/>
      <c r="D31" s="3"/>
      <c r="E31" s="52"/>
      <c r="F31" s="11"/>
      <c r="G31" s="11"/>
      <c r="H31" s="11"/>
      <c r="I31" s="14"/>
      <c r="J31" s="11"/>
      <c r="K31" s="11"/>
      <c r="L31" s="11"/>
      <c r="M31" s="11"/>
      <c r="N31" s="10"/>
    </row>
    <row r="32">
      <c r="F32" s="40">
        <f>F38 + SUM(F5:F31)</f>
        <v>235</v>
      </c>
      <c r="H32" s="1">
        <v>214.0</v>
      </c>
      <c r="I32" s="53"/>
      <c r="J32" s="1">
        <v>204.0</v>
      </c>
      <c r="K32" s="1">
        <v>196.0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25"/>
    <col customWidth="1" min="4" max="4" width="26.88"/>
    <col customWidth="1" min="5" max="5" width="39.88"/>
    <col customWidth="1" min="6" max="6" width="18.25"/>
  </cols>
  <sheetData>
    <row r="1">
      <c r="A1" s="54"/>
    </row>
    <row r="2">
      <c r="A2" s="2" t="s">
        <v>166</v>
      </c>
    </row>
    <row r="3">
      <c r="F3" s="3" t="s">
        <v>2</v>
      </c>
    </row>
    <row r="4">
      <c r="A4" s="4" t="s">
        <v>3</v>
      </c>
      <c r="B4" s="4" t="s">
        <v>4</v>
      </c>
      <c r="C4" s="4" t="s">
        <v>5</v>
      </c>
      <c r="D4" s="4" t="s">
        <v>6</v>
      </c>
      <c r="E4" s="4" t="s">
        <v>7</v>
      </c>
      <c r="F4" s="5">
        <v>45292.0</v>
      </c>
      <c r="G4" s="6">
        <v>45323.0</v>
      </c>
      <c r="H4" s="7">
        <v>45352.0</v>
      </c>
      <c r="I4" s="8">
        <v>45383.0</v>
      </c>
      <c r="J4" s="6">
        <v>45413.0</v>
      </c>
      <c r="K4" s="6">
        <v>45444.0</v>
      </c>
      <c r="L4" s="6">
        <v>45474.0</v>
      </c>
      <c r="M4" s="9">
        <v>45505.0</v>
      </c>
      <c r="N4" s="55">
        <v>45597.0</v>
      </c>
    </row>
    <row r="5">
      <c r="A5" s="34">
        <v>1.0</v>
      </c>
      <c r="B5" s="34" t="s">
        <v>167</v>
      </c>
      <c r="C5" s="34" t="s">
        <v>9</v>
      </c>
      <c r="D5" s="34" t="s">
        <v>130</v>
      </c>
      <c r="E5" s="35" t="str">
        <f>HYPERLINK("https://www-akitakata-jp.translate.goog/ja/shisei/section/kanri/main/?_x_tr_sl=ja&amp;_x_tr_tl=en&amp;_x_tr_hl=en-GB", "Link to Akitakata")
</f>
        <v>Link to Akitakata</v>
      </c>
      <c r="F5" s="34"/>
      <c r="G5" s="36"/>
      <c r="H5" s="36"/>
      <c r="I5" s="36"/>
      <c r="J5" s="36"/>
      <c r="K5" s="34">
        <v>70.0</v>
      </c>
      <c r="L5" s="34">
        <v>80.0</v>
      </c>
      <c r="M5" s="34">
        <v>74.0</v>
      </c>
      <c r="N5" s="34">
        <v>72.0</v>
      </c>
      <c r="O5" s="38"/>
      <c r="P5" s="38"/>
      <c r="Q5" s="38"/>
      <c r="R5" s="38"/>
      <c r="S5" s="38"/>
      <c r="T5" s="38"/>
      <c r="U5" s="38"/>
      <c r="V5" s="38"/>
      <c r="W5" s="38"/>
      <c r="X5" s="38"/>
      <c r="Y5" s="38"/>
    </row>
    <row r="6">
      <c r="A6" s="22">
        <v>2.0</v>
      </c>
      <c r="B6" s="22" t="s">
        <v>168</v>
      </c>
      <c r="C6" s="22" t="s">
        <v>9</v>
      </c>
      <c r="D6" s="22" t="s">
        <v>160</v>
      </c>
      <c r="E6" s="22"/>
      <c r="F6" s="22"/>
      <c r="G6" s="23"/>
      <c r="H6" s="23"/>
      <c r="I6" s="23"/>
      <c r="J6" s="23"/>
      <c r="K6" s="22">
        <v>0.0</v>
      </c>
      <c r="L6" s="22">
        <v>0.0</v>
      </c>
      <c r="M6" s="22">
        <v>0.0</v>
      </c>
      <c r="N6" s="22">
        <v>0.0</v>
      </c>
      <c r="O6" s="25"/>
      <c r="P6" s="25"/>
      <c r="Q6" s="25"/>
      <c r="R6" s="25"/>
      <c r="S6" s="25"/>
      <c r="T6" s="25"/>
      <c r="U6" s="25"/>
      <c r="V6" s="25"/>
      <c r="W6" s="25"/>
      <c r="X6" s="25"/>
      <c r="Y6" s="25"/>
    </row>
    <row r="7">
      <c r="A7" s="34">
        <v>3.0</v>
      </c>
      <c r="B7" s="34" t="s">
        <v>169</v>
      </c>
      <c r="C7" s="34" t="s">
        <v>9</v>
      </c>
      <c r="D7" s="34" t="s">
        <v>130</v>
      </c>
      <c r="E7" s="35" t="str">
        <f>HYPERLINK("https://ijyu--etajima-jp.translate.goog/bank_list_buy?_x_tr_sl=ja&amp;_x_tr_tl=en&amp;_x_tr_hl=en-GB#banklist_buy", "Link to Etajima Akiya Bank")
</f>
        <v>Link to Etajima Akiya Bank</v>
      </c>
      <c r="F7" s="34"/>
      <c r="G7" s="36"/>
      <c r="H7" s="36"/>
      <c r="I7" s="36"/>
      <c r="J7" s="36"/>
      <c r="K7" s="34">
        <v>44.0</v>
      </c>
      <c r="L7" s="34">
        <v>23.0</v>
      </c>
      <c r="M7" s="34">
        <v>32.0</v>
      </c>
      <c r="N7" s="34">
        <v>41.0</v>
      </c>
      <c r="O7" s="38"/>
      <c r="P7" s="38"/>
      <c r="Q7" s="38"/>
      <c r="R7" s="38"/>
      <c r="S7" s="38"/>
      <c r="T7" s="38"/>
      <c r="U7" s="38"/>
      <c r="V7" s="38"/>
      <c r="W7" s="38"/>
      <c r="X7" s="38"/>
      <c r="Y7" s="38"/>
    </row>
    <row r="8">
      <c r="A8" s="22">
        <v>4.0</v>
      </c>
      <c r="B8" s="22" t="s">
        <v>45</v>
      </c>
      <c r="C8" s="22" t="s">
        <v>9</v>
      </c>
      <c r="D8" s="22" t="s">
        <v>170</v>
      </c>
      <c r="E8" s="27" t="str">
        <f>HYPERLINK("https://www-city-fuchu-hiroshima-jp.translate.goog/soshiki/keizaikanko/kankouchiikiburandosuisin/chiikisinko/sonota/7674.html?_x_tr_sl=ja&amp;_x_tr_tl=en&amp;_x_tr_hl=en-GB","Link To Fuchu Akiya Bank")</f>
        <v>Link To Fuchu Akiya Bank</v>
      </c>
      <c r="F8" s="22"/>
      <c r="G8" s="23"/>
      <c r="H8" s="23"/>
      <c r="I8" s="23"/>
      <c r="J8" s="23"/>
      <c r="K8" s="22">
        <v>0.0</v>
      </c>
      <c r="L8" s="22">
        <v>0.0</v>
      </c>
      <c r="M8" s="22">
        <v>0.0</v>
      </c>
      <c r="N8" s="22">
        <v>0.0</v>
      </c>
      <c r="O8" s="25"/>
      <c r="P8" s="25"/>
      <c r="Q8" s="25"/>
      <c r="R8" s="25"/>
      <c r="S8" s="25"/>
      <c r="T8" s="25"/>
      <c r="U8" s="25"/>
      <c r="V8" s="25"/>
      <c r="W8" s="25"/>
      <c r="X8" s="25"/>
      <c r="Y8" s="25"/>
    </row>
    <row r="9">
      <c r="A9" s="34">
        <v>5.0</v>
      </c>
      <c r="B9" s="34" t="s">
        <v>171</v>
      </c>
      <c r="C9" s="34" t="s">
        <v>9</v>
      </c>
      <c r="D9" s="34" t="s">
        <v>130</v>
      </c>
      <c r="E9" s="35" t="str">
        <f>HYPERLINK("https://akiya--bank-fudohsan-jp.translate.goog/%E4%B8%80%E8%A6%A7/%E8%B2%B7%E3%81%86/%E5%9C%B0%E5%9F%9F/%E5%AE%89%E8%8A%B8%E9%83%A1%E5%BA%9C%E4%B8%AD%E7%94%BA/?_x_tr_sl=ja&amp;_x_tr_tl=en&amp;_x_tr_hl=en-GB", "Link to Fuchu Town Akiya Bank")
</f>
        <v>Link to Fuchu Town Akiya Bank</v>
      </c>
      <c r="F9" s="34"/>
      <c r="G9" s="36"/>
      <c r="H9" s="36"/>
      <c r="I9" s="36"/>
      <c r="J9" s="36"/>
      <c r="K9" s="34">
        <v>20.0</v>
      </c>
      <c r="L9" s="34">
        <v>10.0</v>
      </c>
      <c r="M9" s="34">
        <v>12.0</v>
      </c>
      <c r="N9" s="34">
        <v>5.0</v>
      </c>
      <c r="O9" s="38"/>
      <c r="P9" s="38"/>
      <c r="Q9" s="38"/>
      <c r="R9" s="38"/>
      <c r="S9" s="38"/>
      <c r="T9" s="38"/>
      <c r="U9" s="38"/>
      <c r="V9" s="38"/>
      <c r="W9" s="38"/>
      <c r="X9" s="38"/>
      <c r="Y9" s="38"/>
    </row>
    <row r="10">
      <c r="A10" s="22">
        <v>6.0</v>
      </c>
      <c r="B10" s="22" t="s">
        <v>172</v>
      </c>
      <c r="C10" s="22" t="s">
        <v>9</v>
      </c>
      <c r="D10" s="22" t="s">
        <v>173</v>
      </c>
      <c r="E10" s="43"/>
      <c r="F10" s="22"/>
      <c r="G10" s="23"/>
      <c r="H10" s="23"/>
      <c r="I10" s="23"/>
      <c r="J10" s="23"/>
      <c r="K10" s="22">
        <v>0.0</v>
      </c>
      <c r="L10" s="22">
        <v>0.0</v>
      </c>
      <c r="M10" s="22">
        <v>0.0</v>
      </c>
      <c r="N10" s="22">
        <v>0.0</v>
      </c>
      <c r="O10" s="25"/>
      <c r="P10" s="25"/>
      <c r="Q10" s="25"/>
      <c r="R10" s="25"/>
      <c r="S10" s="25"/>
      <c r="T10" s="25"/>
      <c r="U10" s="25"/>
      <c r="V10" s="25"/>
      <c r="W10" s="25"/>
      <c r="X10" s="25"/>
      <c r="Y10" s="25"/>
    </row>
    <row r="11">
      <c r="A11" s="22">
        <v>7.0</v>
      </c>
      <c r="B11" s="22" t="s">
        <v>174</v>
      </c>
      <c r="C11" s="22" t="s">
        <v>9</v>
      </c>
      <c r="D11" s="22" t="s">
        <v>173</v>
      </c>
      <c r="E11" s="23"/>
      <c r="F11" s="22"/>
      <c r="G11" s="23"/>
      <c r="H11" s="23"/>
      <c r="I11" s="23"/>
      <c r="J11" s="23"/>
      <c r="K11" s="22">
        <v>0.0</v>
      </c>
      <c r="L11" s="22">
        <v>0.0</v>
      </c>
      <c r="M11" s="22">
        <v>0.0</v>
      </c>
      <c r="N11" s="22">
        <v>0.0</v>
      </c>
      <c r="O11" s="25"/>
      <c r="P11" s="25"/>
      <c r="Q11" s="25"/>
      <c r="R11" s="25"/>
      <c r="S11" s="25"/>
      <c r="T11" s="25"/>
      <c r="U11" s="25"/>
      <c r="V11" s="25"/>
      <c r="W11" s="25"/>
      <c r="X11" s="25"/>
      <c r="Y11" s="25"/>
    </row>
    <row r="12">
      <c r="A12" s="34">
        <v>8.0</v>
      </c>
      <c r="B12" s="34" t="s">
        <v>175</v>
      </c>
      <c r="C12" s="34" t="s">
        <v>9</v>
      </c>
      <c r="D12" s="34" t="s">
        <v>130</v>
      </c>
      <c r="E12" s="51" t="str">
        <f>HYPERLINK("https://akiya--bank-fudohsan-jp.translate.goog/%E4%B8%80%E8%A6%A7/%E8%B2%B7%E3%81%86/%E4%B8%8D%E5%8B%95%E7%94%A3%E4%BC%9A%E7%A4%BE/3827?_x_tr_sl=ja&amp;_x_tr_tl=en&amp;_x_tr_hl=en-GB","Link Higashihiroshima Akiya Bank")</f>
        <v>Link Higashihiroshima Akiya Bank</v>
      </c>
      <c r="F12" s="34"/>
      <c r="G12" s="36"/>
      <c r="H12" s="36"/>
      <c r="I12" s="36"/>
      <c r="J12" s="36"/>
      <c r="K12" s="34">
        <v>15.0</v>
      </c>
      <c r="L12" s="34">
        <v>10.0</v>
      </c>
      <c r="M12" s="34">
        <v>12.0</v>
      </c>
      <c r="N12" s="34">
        <v>2.0</v>
      </c>
      <c r="O12" s="38"/>
      <c r="P12" s="38"/>
      <c r="Q12" s="38"/>
      <c r="R12" s="38"/>
      <c r="S12" s="38"/>
      <c r="T12" s="38"/>
      <c r="U12" s="38"/>
      <c r="V12" s="38"/>
      <c r="W12" s="38"/>
      <c r="X12" s="38"/>
      <c r="Y12" s="38"/>
    </row>
    <row r="13">
      <c r="A13" s="22">
        <v>9.0</v>
      </c>
      <c r="B13" s="22" t="s">
        <v>176</v>
      </c>
      <c r="C13" s="22" t="s">
        <v>9</v>
      </c>
      <c r="D13" s="22" t="s">
        <v>173</v>
      </c>
      <c r="E13" s="43"/>
      <c r="F13" s="22"/>
      <c r="G13" s="23"/>
      <c r="H13" s="23"/>
      <c r="I13" s="23"/>
      <c r="J13" s="23"/>
      <c r="K13" s="22">
        <v>0.0</v>
      </c>
      <c r="L13" s="22">
        <v>0.0</v>
      </c>
      <c r="M13" s="22">
        <v>0.0</v>
      </c>
      <c r="N13" s="22">
        <v>0.0</v>
      </c>
      <c r="O13" s="25"/>
      <c r="P13" s="25"/>
      <c r="Q13" s="25"/>
      <c r="R13" s="25"/>
      <c r="S13" s="25"/>
      <c r="T13" s="25"/>
      <c r="U13" s="25"/>
      <c r="V13" s="25"/>
      <c r="W13" s="25"/>
      <c r="X13" s="25"/>
      <c r="Y13" s="25"/>
    </row>
    <row r="14">
      <c r="A14" s="34">
        <v>10.0</v>
      </c>
      <c r="B14" s="34" t="s">
        <v>177</v>
      </c>
      <c r="C14" s="34" t="s">
        <v>9</v>
      </c>
      <c r="D14" s="34" t="s">
        <v>130</v>
      </c>
      <c r="E14" s="35" t="str">
        <f>HYPERLINK("https://akiya--bank-fudohsan-jp.translate.goog/%E4%B8%80%E8%A6%A7/%E8%B2%B7%E3%81%86/%E5%9C%B0%E5%9F%9F/%E7%A5%9E%E7%9F%B3%E9%83%A1%E7%A5%9E%E7%9F%B3%E9%AB%98%E5%8E%9F%E7%94%BA/?_x_tr_sl=ja&amp;_x_tr_tl=en&amp;_x_tr_hl=en-GB", "Link to Jinsekikōgen Akiya List")
</f>
        <v>Link to Jinsekikōgen Akiya List</v>
      </c>
      <c r="F14" s="34"/>
      <c r="G14" s="36"/>
      <c r="H14" s="36"/>
      <c r="I14" s="36"/>
      <c r="J14" s="36"/>
      <c r="K14" s="34">
        <v>8.0</v>
      </c>
      <c r="L14" s="34">
        <v>15.0</v>
      </c>
      <c r="M14" s="34">
        <v>14.0</v>
      </c>
      <c r="N14" s="34">
        <v>9.0</v>
      </c>
      <c r="O14" s="38"/>
      <c r="P14" s="38"/>
      <c r="Q14" s="38"/>
      <c r="R14" s="38"/>
      <c r="S14" s="38"/>
      <c r="T14" s="38"/>
      <c r="U14" s="38"/>
      <c r="V14" s="38"/>
      <c r="W14" s="38"/>
      <c r="X14" s="38"/>
      <c r="Y14" s="38"/>
    </row>
    <row r="15">
      <c r="A15" s="34">
        <v>11.0</v>
      </c>
      <c r="B15" s="34" t="s">
        <v>178</v>
      </c>
      <c r="C15" s="34" t="s">
        <v>9</v>
      </c>
      <c r="D15" s="34" t="s">
        <v>130</v>
      </c>
      <c r="E15" s="35" t="str">
        <f>HYPERLINK("https://akiya--bank-fudohsan-jp.translate.goog/%E4%B8%80%E8%A6%A7/%E8%B2%B7%E3%81%86-%E4%B8%80%E6%88%B8%E5%BB%BA%E3%81%A6/%E5%9C%B0%E5%9F%9F/%E5%AE%89%E8%8A%B8%E9%83%A1%E6%B5%B7%E7%94%B0%E7%94%BA/-/P462477155?_x_tr_sl=ja&amp;_x_tr_tl=en&amp;_x_tr_hl=en-GB", "Link to Kaita")
</f>
        <v>Link to Kaita</v>
      </c>
      <c r="F15" s="34"/>
      <c r="G15" s="36"/>
      <c r="H15" s="36"/>
      <c r="I15" s="36"/>
      <c r="J15" s="36"/>
      <c r="K15" s="34">
        <v>7.0</v>
      </c>
      <c r="L15" s="34">
        <v>6.0</v>
      </c>
      <c r="M15" s="34">
        <v>4.0</v>
      </c>
      <c r="N15" s="34">
        <v>0.0</v>
      </c>
      <c r="O15" s="38"/>
      <c r="P15" s="38"/>
      <c r="Q15" s="38"/>
      <c r="R15" s="38"/>
      <c r="S15" s="38"/>
      <c r="T15" s="38"/>
      <c r="U15" s="38"/>
      <c r="V15" s="38"/>
      <c r="W15" s="38"/>
      <c r="X15" s="38"/>
      <c r="Y15" s="38"/>
    </row>
    <row r="16">
      <c r="A16" s="29">
        <v>12.0</v>
      </c>
      <c r="B16" s="29" t="s">
        <v>179</v>
      </c>
      <c r="C16" s="29" t="s">
        <v>9</v>
      </c>
      <c r="D16" s="29" t="s">
        <v>180</v>
      </c>
      <c r="E16" s="30" t="str">
        <f>HYPERLINK("https://www.town.kitahiroshima.lg.jp/akiya/search/search.php?k_torokubi=&amp;k_kakaku_1=0&amp;k_kakaku_2=0&amp;k_chinryo_1=0&amp;k_chinryo_2=0&amp;k_nobeyuka_1=0&amp;k_nobeyuka_2=0&amp;k_shikichi_1=0&amp;k_shikichi_2=0&amp;k_keyword=&amp;k_no=&amp;search=1&amp;page=1", "Link to Kitahiroshima")
</f>
        <v>Link to Kitahiroshima</v>
      </c>
      <c r="F16" s="29"/>
      <c r="G16" s="31"/>
      <c r="H16" s="31"/>
      <c r="I16" s="31"/>
      <c r="J16" s="31"/>
      <c r="K16" s="29">
        <v>31.0</v>
      </c>
      <c r="L16" s="29">
        <v>28.0</v>
      </c>
      <c r="M16" s="29">
        <v>29.0</v>
      </c>
      <c r="N16" s="29">
        <v>34.0</v>
      </c>
      <c r="O16" s="33"/>
      <c r="P16" s="33"/>
      <c r="Q16" s="33"/>
      <c r="R16" s="33"/>
      <c r="S16" s="33"/>
      <c r="T16" s="33"/>
      <c r="U16" s="33"/>
      <c r="V16" s="33"/>
      <c r="W16" s="33"/>
      <c r="X16" s="33"/>
      <c r="Y16" s="33"/>
    </row>
    <row r="17">
      <c r="A17" s="34">
        <v>13.0</v>
      </c>
      <c r="B17" s="34" t="s">
        <v>181</v>
      </c>
      <c r="C17" s="34" t="s">
        <v>9</v>
      </c>
      <c r="D17" s="34" t="s">
        <v>130</v>
      </c>
      <c r="E17" s="35" t="str">
        <f>HYPERLINK("https://akiya--bank-fudohsan-jp.translate.goog/%E4%B8%80%E8%A6%A7/%E8%B2%B7%E3%81%86/%E5%9C%B0%E5%9F%9F/%E5%AE%89%E8%8A%B8%E9%83%A1%E7%86%8A%E9%87%8E%E7%94%BA/?_x_tr_sl=ja&amp;_x_tr_tl=en&amp;_x_tr_hl=en-GB", "Link to Kumano Akiya Bank")
</f>
        <v>Link to Kumano Akiya Bank</v>
      </c>
      <c r="F17" s="34"/>
      <c r="G17" s="36"/>
      <c r="H17" s="36"/>
      <c r="I17" s="36"/>
      <c r="J17" s="36"/>
      <c r="K17" s="34">
        <v>3.0</v>
      </c>
      <c r="L17" s="34">
        <v>10.0</v>
      </c>
      <c r="M17" s="34">
        <v>4.0</v>
      </c>
      <c r="N17" s="34">
        <v>5.0</v>
      </c>
      <c r="O17" s="38"/>
      <c r="P17" s="38"/>
      <c r="Q17" s="38"/>
      <c r="R17" s="38"/>
      <c r="S17" s="38"/>
      <c r="T17" s="38"/>
      <c r="U17" s="38"/>
      <c r="V17" s="38"/>
      <c r="W17" s="38"/>
      <c r="X17" s="38"/>
      <c r="Y17" s="38"/>
    </row>
    <row r="18">
      <c r="A18" s="34">
        <v>14.0</v>
      </c>
      <c r="B18" s="34" t="s">
        <v>182</v>
      </c>
      <c r="C18" s="34" t="s">
        <v>9</v>
      </c>
      <c r="D18" s="34" t="s">
        <v>130</v>
      </c>
      <c r="E18" s="35" t="str">
        <f>HYPERLINK("https://www-city-kure-lg-jp.translate.goog/soshiki/46/akiyabannkubutukenitiran.html?_x_tr_sl=ja&amp;_x_tr_tl=en&amp;_x_tr_hl=en-GB", "Link to Kure Akiya Bank")
</f>
        <v>Link to Kure Akiya Bank</v>
      </c>
      <c r="F18" s="34"/>
      <c r="G18" s="36"/>
      <c r="H18" s="36"/>
      <c r="I18" s="36"/>
      <c r="J18" s="36"/>
      <c r="K18" s="34">
        <v>5.0</v>
      </c>
      <c r="L18" s="34">
        <v>7.0</v>
      </c>
      <c r="M18" s="34">
        <v>3.0</v>
      </c>
      <c r="N18" s="34">
        <v>1.0</v>
      </c>
      <c r="O18" s="38"/>
      <c r="P18" s="38"/>
      <c r="Q18" s="38"/>
      <c r="R18" s="38"/>
      <c r="S18" s="38"/>
      <c r="T18" s="38"/>
      <c r="U18" s="38"/>
      <c r="V18" s="38"/>
      <c r="W18" s="38"/>
      <c r="X18" s="38"/>
      <c r="Y18" s="38"/>
    </row>
    <row r="19">
      <c r="A19" s="29">
        <v>15.0</v>
      </c>
      <c r="B19" s="29" t="s">
        <v>183</v>
      </c>
      <c r="C19" s="29" t="s">
        <v>9</v>
      </c>
      <c r="D19" s="29" t="s">
        <v>180</v>
      </c>
      <c r="E19" s="30" t="str">
        <f>HYPERLINK("https://www-city-mihara-hiroshima-jp.translate.goog/soshiki/21/akiyainfo.html?_x_tr_sl=ja&amp;_x_tr_tl=en&amp;_x_tr_hl=en-GB","Link to Mihara Akiya Bank")</f>
        <v>Link to Mihara Akiya Bank</v>
      </c>
      <c r="F19" s="29"/>
      <c r="G19" s="31"/>
      <c r="H19" s="31"/>
      <c r="I19" s="31"/>
      <c r="J19" s="31"/>
      <c r="K19" s="29">
        <v>57.0</v>
      </c>
      <c r="L19" s="29">
        <v>61.0</v>
      </c>
      <c r="M19" s="29">
        <v>54.0</v>
      </c>
      <c r="N19" s="29">
        <v>51.0</v>
      </c>
      <c r="O19" s="33"/>
      <c r="P19" s="33"/>
      <c r="Q19" s="33"/>
      <c r="R19" s="33"/>
      <c r="S19" s="33"/>
      <c r="T19" s="33"/>
      <c r="U19" s="33"/>
      <c r="V19" s="33"/>
      <c r="W19" s="33"/>
      <c r="X19" s="33"/>
      <c r="Y19" s="33"/>
    </row>
    <row r="20">
      <c r="A20" s="34">
        <v>16.0</v>
      </c>
      <c r="B20" s="34" t="s">
        <v>184</v>
      </c>
      <c r="C20" s="34" t="s">
        <v>9</v>
      </c>
      <c r="D20" s="34" t="s">
        <v>130</v>
      </c>
      <c r="E20" s="35" t="str">
        <f>HYPERLINK("https://miyoshi--style-com.translate.goog/akiya/?_x_tr_sl=ja&amp;_x_tr_tl=en&amp;_x_tr_hl=en-GB", "Link to Miyoshi Akiya Bank")
</f>
        <v>Link to Miyoshi Akiya Bank</v>
      </c>
      <c r="F20" s="34"/>
      <c r="G20" s="36"/>
      <c r="H20" s="36"/>
      <c r="I20" s="36"/>
      <c r="J20" s="36"/>
      <c r="K20" s="34">
        <v>43.0</v>
      </c>
      <c r="L20" s="34">
        <v>19.0</v>
      </c>
      <c r="M20" s="34">
        <v>15.0</v>
      </c>
      <c r="N20" s="34">
        <v>12.0</v>
      </c>
      <c r="O20" s="38"/>
      <c r="P20" s="38"/>
      <c r="Q20" s="38"/>
      <c r="R20" s="38"/>
      <c r="S20" s="38"/>
      <c r="T20" s="38"/>
      <c r="U20" s="38"/>
      <c r="V20" s="38"/>
      <c r="W20" s="38"/>
      <c r="X20" s="38"/>
      <c r="Y20" s="38"/>
    </row>
    <row r="21">
      <c r="A21" s="34">
        <v>17.0</v>
      </c>
      <c r="B21" s="34" t="s">
        <v>185</v>
      </c>
      <c r="C21" s="34" t="s">
        <v>9</v>
      </c>
      <c r="D21" s="34" t="s">
        <v>130</v>
      </c>
      <c r="E21" s="35" t="str">
        <f>HYPERLINK("https://akiya--bank-fudohsan-jp.translate.goog/%E4%B8%80%E8%A6%A7/%E8%B2%B7%E3%81%86-%E5%AE%9A%E4%BD%8F%E3%82%BF%E3%82%A4%E3%83%97/%E5%9C%B0%E5%9F%9F/%E5%B0%BE%E9%81%93%E5%B8%82/?_x_tr_sl=ja&amp;_x_tr_tl=en&amp;_x_tr_hl=en-GB", "Link to Onomichi Akiya Database")
</f>
        <v>Link to Onomichi Akiya Database</v>
      </c>
      <c r="F21" s="34"/>
      <c r="G21" s="36"/>
      <c r="H21" s="36"/>
      <c r="I21" s="36"/>
      <c r="J21" s="36"/>
      <c r="K21" s="34">
        <v>9.0</v>
      </c>
      <c r="L21" s="34">
        <v>20.0</v>
      </c>
      <c r="M21" s="34">
        <v>7.0</v>
      </c>
      <c r="N21" s="34">
        <v>5.0</v>
      </c>
      <c r="O21" s="38"/>
      <c r="P21" s="38"/>
      <c r="Q21" s="38"/>
      <c r="R21" s="38"/>
      <c r="S21" s="38"/>
      <c r="T21" s="38"/>
      <c r="U21" s="38"/>
      <c r="V21" s="38"/>
      <c r="W21" s="38"/>
      <c r="X21" s="38"/>
      <c r="Y21" s="38"/>
    </row>
    <row r="22">
      <c r="A22" s="22">
        <v>18.0</v>
      </c>
      <c r="B22" s="22" t="s">
        <v>186</v>
      </c>
      <c r="C22" s="22" t="s">
        <v>9</v>
      </c>
      <c r="D22" s="22" t="s">
        <v>160</v>
      </c>
      <c r="E22" s="43"/>
      <c r="F22" s="22"/>
      <c r="G22" s="23"/>
      <c r="H22" s="23"/>
      <c r="I22" s="23"/>
      <c r="J22" s="23"/>
      <c r="K22" s="22">
        <v>0.0</v>
      </c>
      <c r="L22" s="22">
        <v>0.0</v>
      </c>
      <c r="M22" s="22">
        <v>0.0</v>
      </c>
      <c r="N22" s="22">
        <v>0.0</v>
      </c>
      <c r="O22" s="25"/>
      <c r="P22" s="25"/>
      <c r="Q22" s="25"/>
      <c r="R22" s="25"/>
      <c r="S22" s="25"/>
      <c r="T22" s="25"/>
      <c r="U22" s="25"/>
      <c r="V22" s="25"/>
      <c r="W22" s="25"/>
      <c r="X22" s="25"/>
      <c r="Y22" s="25"/>
    </row>
    <row r="23">
      <c r="A23" s="34">
        <v>19.0</v>
      </c>
      <c r="B23" s="34" t="s">
        <v>187</v>
      </c>
      <c r="C23" s="34" t="s">
        <v>9</v>
      </c>
      <c r="D23" s="34" t="s">
        <v>130</v>
      </c>
      <c r="E23" s="35" t="str">
        <f>HYPERLINK("https://minto--hiroshima-jp.translate.goog/area/sera/?_x_tr_sl=ja&amp;_x_tr_tl=en&amp;_x_tr_hl=en-GB", "Link to Sera Akiya ")
</f>
        <v>Link to Sera Akiya </v>
      </c>
      <c r="F23" s="34"/>
      <c r="G23" s="36"/>
      <c r="H23" s="36"/>
      <c r="I23" s="36"/>
      <c r="J23" s="36"/>
      <c r="K23" s="34">
        <v>4.0</v>
      </c>
      <c r="L23" s="34">
        <v>0.0</v>
      </c>
      <c r="M23" s="34">
        <v>0.0</v>
      </c>
      <c r="N23" s="34">
        <v>0.0</v>
      </c>
      <c r="O23" s="38"/>
      <c r="P23" s="38"/>
      <c r="Q23" s="38"/>
      <c r="R23" s="38"/>
      <c r="S23" s="38"/>
      <c r="T23" s="38"/>
      <c r="U23" s="38"/>
      <c r="V23" s="38"/>
      <c r="W23" s="38"/>
      <c r="X23" s="38"/>
      <c r="Y23" s="38"/>
    </row>
    <row r="24">
      <c r="A24" s="22">
        <v>20.0</v>
      </c>
      <c r="B24" s="22" t="s">
        <v>188</v>
      </c>
      <c r="C24" s="22" t="s">
        <v>9</v>
      </c>
      <c r="D24" s="22" t="s">
        <v>189</v>
      </c>
      <c r="E24" s="27" t="str">
        <f>HYPERLINK("https://shobara--akiya-jp.translate.goog/index.php/vacant-house/properties-list?_x_tr_sl=ja&amp;_x_tr_tl=en&amp;_x_tr_hl=en-GB", "Link to Shobara Akiya Database")
</f>
        <v>Link to Shobara Akiya Database</v>
      </c>
      <c r="F24" s="22"/>
      <c r="G24" s="23"/>
      <c r="H24" s="23"/>
      <c r="I24" s="23"/>
      <c r="J24" s="23"/>
      <c r="K24" s="22">
        <v>0.0</v>
      </c>
      <c r="L24" s="22">
        <v>47.0</v>
      </c>
      <c r="M24" s="22">
        <v>13.0</v>
      </c>
      <c r="N24" s="22">
        <v>12.0</v>
      </c>
      <c r="O24" s="25"/>
      <c r="P24" s="25"/>
      <c r="Q24" s="25"/>
      <c r="R24" s="25"/>
      <c r="S24" s="25"/>
      <c r="T24" s="25"/>
      <c r="U24" s="25"/>
      <c r="V24" s="25"/>
      <c r="W24" s="25"/>
      <c r="X24" s="25"/>
      <c r="Y24" s="25"/>
    </row>
    <row r="25">
      <c r="A25" s="34">
        <v>21.0</v>
      </c>
      <c r="B25" s="34" t="s">
        <v>190</v>
      </c>
      <c r="C25" s="34" t="s">
        <v>9</v>
      </c>
      <c r="D25" s="34" t="s">
        <v>130</v>
      </c>
      <c r="E25" s="35" t="str">
        <f>HYPERLINK("https://minto--hiroshima-jp.translate.goog/area/takehara/?_x_tr_sl=ja&amp;_x_tr_tl=en&amp;_x_tr_hl=en-GB","Link to Takehara Akiya ")</f>
        <v>Link to Takehara Akiya </v>
      </c>
      <c r="F25" s="34"/>
      <c r="G25" s="36"/>
      <c r="H25" s="36"/>
      <c r="I25" s="36"/>
      <c r="J25" s="36"/>
      <c r="K25" s="34">
        <v>15.0</v>
      </c>
      <c r="L25" s="34">
        <v>15.0</v>
      </c>
      <c r="M25" s="34">
        <v>11.0</v>
      </c>
      <c r="N25" s="34">
        <v>11.0</v>
      </c>
      <c r="O25" s="38"/>
      <c r="P25" s="38"/>
      <c r="Q25" s="38"/>
      <c r="R25" s="38"/>
      <c r="S25" s="38"/>
      <c r="T25" s="38"/>
      <c r="U25" s="38"/>
      <c r="V25" s="38"/>
      <c r="W25" s="38"/>
      <c r="X25" s="38"/>
      <c r="Y25" s="38"/>
    </row>
    <row r="26">
      <c r="A26" s="29">
        <v>22.0</v>
      </c>
      <c r="B26" s="29" t="s">
        <v>191</v>
      </c>
      <c r="C26" s="29" t="s">
        <v>9</v>
      </c>
      <c r="D26" s="29" t="s">
        <v>180</v>
      </c>
      <c r="E26" s="30" t="str">
        <f>HYPERLINK("https://www-town-osakikamijima-hiroshima-jp.translate.goog/kurashi/sumai/1/1/2513.html?_x_tr_sl=ja&amp;_x_tr_tl=en&amp;_x_tr_hl=en-GB", "Link to Osakikamijima Akiya Database")
</f>
        <v>Link to Osakikamijima Akiya Database</v>
      </c>
      <c r="F26" s="29"/>
      <c r="G26" s="31"/>
      <c r="H26" s="31"/>
      <c r="I26" s="31"/>
      <c r="J26" s="31"/>
      <c r="K26" s="29">
        <v>22.0</v>
      </c>
      <c r="L26" s="29">
        <v>24.0</v>
      </c>
      <c r="M26" s="29">
        <v>21.0</v>
      </c>
      <c r="N26" s="29">
        <v>19.0</v>
      </c>
      <c r="O26" s="33"/>
      <c r="P26" s="33"/>
      <c r="Q26" s="33"/>
      <c r="R26" s="33"/>
      <c r="S26" s="33"/>
      <c r="T26" s="33"/>
      <c r="U26" s="33"/>
      <c r="V26" s="33"/>
      <c r="W26" s="33"/>
      <c r="X26" s="33"/>
      <c r="Y26" s="33"/>
    </row>
    <row r="27">
      <c r="A27" s="22">
        <v>23.0</v>
      </c>
      <c r="B27" s="22" t="s">
        <v>192</v>
      </c>
      <c r="C27" s="22" t="s">
        <v>9</v>
      </c>
      <c r="D27" s="22" t="s">
        <v>173</v>
      </c>
      <c r="E27" s="43"/>
      <c r="F27" s="22"/>
      <c r="G27" s="23"/>
      <c r="H27" s="23"/>
      <c r="I27" s="23"/>
      <c r="J27" s="23"/>
      <c r="K27" s="22">
        <v>0.0</v>
      </c>
      <c r="L27" s="22">
        <v>0.0</v>
      </c>
      <c r="M27" s="22">
        <v>0.0</v>
      </c>
      <c r="N27" s="22">
        <v>0.0</v>
      </c>
      <c r="O27" s="25"/>
      <c r="P27" s="25"/>
      <c r="Q27" s="25"/>
      <c r="R27" s="25"/>
      <c r="S27" s="25"/>
      <c r="T27" s="25"/>
      <c r="U27" s="25"/>
      <c r="V27" s="25"/>
      <c r="W27" s="25"/>
      <c r="X27" s="25"/>
      <c r="Y27" s="25"/>
    </row>
    <row r="28">
      <c r="A28" s="16"/>
      <c r="B28" s="16"/>
      <c r="C28" s="16"/>
      <c r="D28" s="17"/>
      <c r="E28" s="17"/>
      <c r="F28" s="17"/>
      <c r="G28" s="17"/>
      <c r="H28" s="17"/>
      <c r="I28" s="17"/>
      <c r="J28" s="19"/>
      <c r="K28" s="16">
        <f t="shared" ref="K28:L28" si="1">SUM(K5:K27)</f>
        <v>353</v>
      </c>
      <c r="L28" s="17">
        <f t="shared" si="1"/>
        <v>375</v>
      </c>
      <c r="M28" s="16">
        <v>305.0</v>
      </c>
      <c r="N28" s="16">
        <v>279.0</v>
      </c>
    </row>
    <row r="29">
      <c r="A29" s="16"/>
      <c r="B29" s="16"/>
      <c r="C29" s="16"/>
      <c r="D29" s="17"/>
      <c r="E29" s="17"/>
      <c r="F29" s="17"/>
      <c r="G29" s="17"/>
      <c r="H29" s="17"/>
      <c r="I29" s="17"/>
      <c r="J29" s="17"/>
      <c r="K29" s="17"/>
      <c r="L29" s="17"/>
      <c r="M29" s="17"/>
    </row>
    <row r="30">
      <c r="A30" s="16"/>
      <c r="B30" s="16"/>
      <c r="C30" s="16"/>
      <c r="D30" s="17"/>
      <c r="E30" s="17"/>
      <c r="F30" s="17"/>
      <c r="G30" s="17"/>
      <c r="H30" s="17"/>
      <c r="I30" s="17"/>
      <c r="J30" s="17"/>
      <c r="K30" s="17"/>
      <c r="L30" s="17"/>
      <c r="M30" s="17"/>
    </row>
    <row r="31">
      <c r="A31" s="16"/>
      <c r="B31" s="16"/>
      <c r="C31" s="16"/>
      <c r="D31" s="16"/>
      <c r="E31" s="20"/>
      <c r="F31" s="17"/>
      <c r="G31" s="17"/>
      <c r="H31" s="17"/>
      <c r="I31" s="17"/>
      <c r="J31" s="17"/>
      <c r="K31" s="17"/>
      <c r="L31" s="17"/>
      <c r="M31" s="17"/>
    </row>
    <row r="32">
      <c r="A32" s="16"/>
      <c r="B32" s="16"/>
      <c r="C32" s="16"/>
      <c r="D32" s="17"/>
      <c r="E32" s="17"/>
      <c r="F32" s="17"/>
      <c r="G32" s="17"/>
      <c r="H32" s="17"/>
      <c r="I32" s="17"/>
      <c r="J32" s="17"/>
      <c r="K32" s="17"/>
      <c r="L32" s="17"/>
      <c r="M32" s="17"/>
    </row>
    <row r="33">
      <c r="A33" s="16"/>
      <c r="B33" s="16"/>
      <c r="C33" s="16"/>
      <c r="D33" s="17"/>
      <c r="E33" s="17"/>
      <c r="F33" s="17"/>
      <c r="G33" s="17"/>
      <c r="H33" s="17"/>
      <c r="I33" s="17"/>
      <c r="J33" s="17"/>
      <c r="K33" s="17"/>
      <c r="L33" s="17"/>
      <c r="M33" s="17"/>
    </row>
    <row r="34">
      <c r="A34" s="16"/>
      <c r="B34" s="16"/>
      <c r="C34" s="16"/>
      <c r="D34" s="17"/>
      <c r="E34" s="17"/>
      <c r="F34" s="17"/>
      <c r="G34" s="17"/>
      <c r="H34" s="17"/>
      <c r="I34" s="17"/>
      <c r="J34" s="17"/>
      <c r="K34" s="17"/>
      <c r="L34" s="17"/>
      <c r="M34" s="17"/>
    </row>
    <row r="35">
      <c r="A35" s="16"/>
      <c r="B35" s="16"/>
      <c r="C35" s="16"/>
      <c r="D35" s="17"/>
      <c r="E35" s="17"/>
      <c r="F35" s="17"/>
      <c r="G35" s="17"/>
      <c r="H35" s="17"/>
      <c r="I35" s="17"/>
      <c r="J35" s="17"/>
      <c r="K35" s="17"/>
      <c r="L35" s="17"/>
      <c r="M35" s="17"/>
    </row>
    <row r="36">
      <c r="A36" s="16"/>
      <c r="B36" s="16"/>
      <c r="C36" s="16"/>
      <c r="D36" s="17"/>
      <c r="E36" s="17"/>
      <c r="F36" s="17"/>
      <c r="G36" s="17"/>
      <c r="H36" s="17"/>
      <c r="I36" s="17"/>
      <c r="J36" s="17"/>
      <c r="K36" s="17"/>
      <c r="L36" s="17"/>
      <c r="M36" s="17"/>
    </row>
    <row r="37">
      <c r="A37" s="16"/>
      <c r="B37" s="16"/>
      <c r="C37" s="16"/>
      <c r="D37" s="17"/>
      <c r="E37" s="17"/>
      <c r="F37" s="17"/>
      <c r="G37" s="17"/>
      <c r="H37" s="17"/>
      <c r="I37" s="17"/>
      <c r="J37" s="17"/>
      <c r="K37" s="17"/>
      <c r="L37" s="17"/>
      <c r="M37" s="17"/>
    </row>
    <row r="38">
      <c r="A38" s="16"/>
      <c r="B38" s="16"/>
      <c r="C38" s="16"/>
      <c r="D38" s="17"/>
      <c r="E38" s="17"/>
      <c r="F38" s="17"/>
      <c r="G38" s="17"/>
      <c r="H38" s="17"/>
      <c r="I38" s="17"/>
      <c r="J38" s="17"/>
      <c r="K38" s="17"/>
      <c r="L38" s="17"/>
      <c r="M38" s="17"/>
    </row>
    <row r="39">
      <c r="A39" s="16"/>
      <c r="B39" s="16"/>
      <c r="C39" s="16"/>
      <c r="D39" s="17"/>
      <c r="E39" s="17"/>
      <c r="F39" s="17"/>
      <c r="G39" s="17"/>
      <c r="H39" s="17"/>
      <c r="I39" s="17"/>
      <c r="J39" s="17"/>
      <c r="K39" s="17"/>
      <c r="L39" s="17"/>
      <c r="M39" s="17"/>
    </row>
    <row r="40">
      <c r="A40" s="16"/>
      <c r="B40" s="16"/>
      <c r="C40" s="16"/>
      <c r="D40" s="17"/>
      <c r="E40" s="17"/>
      <c r="F40" s="17"/>
      <c r="G40" s="17"/>
      <c r="H40" s="17"/>
      <c r="I40" s="17"/>
      <c r="J40" s="17"/>
      <c r="K40" s="17"/>
      <c r="L40" s="17"/>
      <c r="M40" s="17"/>
    </row>
    <row r="41">
      <c r="A41" s="16"/>
      <c r="B41" s="16"/>
      <c r="C41" s="16"/>
      <c r="D41" s="17"/>
      <c r="E41" s="17"/>
      <c r="F41" s="17"/>
      <c r="G41" s="17"/>
      <c r="H41" s="17"/>
      <c r="I41" s="17"/>
      <c r="J41" s="17"/>
      <c r="K41" s="17"/>
      <c r="L41" s="17"/>
      <c r="M41" s="17"/>
    </row>
    <row r="42">
      <c r="A42" s="16"/>
      <c r="B42" s="16"/>
      <c r="C42" s="16"/>
      <c r="D42" s="17"/>
      <c r="E42" s="17"/>
      <c r="F42" s="17"/>
      <c r="G42" s="17"/>
      <c r="H42" s="17"/>
      <c r="I42" s="17"/>
      <c r="J42" s="17"/>
      <c r="K42" s="17"/>
      <c r="L42" s="17"/>
      <c r="M42" s="17"/>
    </row>
    <row r="43">
      <c r="A43" s="16"/>
      <c r="B43" s="16"/>
      <c r="C43" s="16"/>
      <c r="D43" s="17"/>
      <c r="E43" s="17"/>
      <c r="F43" s="17"/>
      <c r="G43" s="17"/>
      <c r="H43" s="17"/>
      <c r="I43" s="17"/>
      <c r="J43" s="17"/>
      <c r="K43" s="17"/>
      <c r="L43" s="17"/>
      <c r="M43" s="17"/>
    </row>
    <row r="44">
      <c r="A44" s="16"/>
      <c r="B44" s="16"/>
      <c r="C44" s="16"/>
      <c r="D44" s="17"/>
      <c r="E44" s="17"/>
      <c r="F44" s="17"/>
      <c r="G44" s="17"/>
      <c r="H44" s="17"/>
      <c r="I44" s="17"/>
      <c r="J44" s="17"/>
      <c r="K44" s="17"/>
      <c r="L44" s="17"/>
      <c r="M44" s="17"/>
    </row>
    <row r="45">
      <c r="A45" s="16"/>
      <c r="B45" s="16"/>
      <c r="C45" s="16"/>
      <c r="D45" s="17"/>
      <c r="E45" s="17"/>
      <c r="F45" s="17"/>
      <c r="G45" s="17"/>
      <c r="H45" s="17"/>
      <c r="I45" s="17"/>
      <c r="J45" s="17"/>
      <c r="K45" s="17"/>
      <c r="L45" s="17"/>
      <c r="M45" s="17"/>
    </row>
    <row r="46">
      <c r="A46" s="16"/>
      <c r="B46" s="16"/>
      <c r="C46" s="16"/>
      <c r="D46" s="16"/>
      <c r="E46" s="20"/>
      <c r="F46" s="17"/>
      <c r="G46" s="17"/>
      <c r="H46" s="17"/>
      <c r="I46" s="17"/>
      <c r="J46" s="17"/>
      <c r="K46" s="17"/>
      <c r="L46" s="17"/>
      <c r="M46" s="17"/>
    </row>
    <row r="47">
      <c r="A47" s="16"/>
      <c r="B47" s="16"/>
      <c r="C47" s="16"/>
      <c r="D47" s="16"/>
      <c r="E47" s="16"/>
      <c r="F47" s="17"/>
      <c r="G47" s="17"/>
      <c r="H47" s="17"/>
      <c r="I47" s="17"/>
      <c r="J47" s="17"/>
      <c r="K47" s="17"/>
      <c r="L47" s="17"/>
      <c r="M47" s="17"/>
    </row>
    <row r="48">
      <c r="A48" s="16"/>
      <c r="B48" s="16"/>
      <c r="C48" s="16"/>
      <c r="D48" s="17"/>
      <c r="E48" s="17"/>
      <c r="F48" s="17"/>
      <c r="G48" s="17"/>
      <c r="H48" s="17"/>
      <c r="I48" s="17"/>
      <c r="J48" s="17"/>
      <c r="K48" s="17"/>
      <c r="L48" s="17"/>
      <c r="M48" s="17"/>
    </row>
    <row r="49">
      <c r="A49" s="16"/>
      <c r="B49" s="16"/>
      <c r="C49" s="16"/>
      <c r="D49" s="17"/>
      <c r="E49" s="17"/>
      <c r="F49" s="17"/>
      <c r="G49" s="17"/>
      <c r="H49" s="17"/>
      <c r="I49" s="17"/>
      <c r="J49" s="17"/>
      <c r="K49" s="17"/>
      <c r="L49" s="17"/>
      <c r="M49" s="17"/>
    </row>
    <row r="50">
      <c r="A50" s="16"/>
      <c r="B50" s="16"/>
      <c r="C50" s="16"/>
      <c r="D50" s="16"/>
      <c r="E50" s="20"/>
      <c r="F50" s="17"/>
      <c r="G50" s="17"/>
      <c r="H50" s="17"/>
      <c r="I50" s="17"/>
      <c r="J50" s="17"/>
      <c r="K50" s="17"/>
      <c r="L50" s="17"/>
      <c r="M50" s="17"/>
    </row>
    <row r="51">
      <c r="A51" s="16"/>
      <c r="B51" s="16"/>
      <c r="C51" s="16"/>
      <c r="D51" s="16"/>
      <c r="E51" s="20"/>
      <c r="F51" s="17"/>
      <c r="G51" s="17"/>
      <c r="H51" s="17"/>
      <c r="I51" s="17"/>
      <c r="J51" s="17"/>
      <c r="K51" s="17"/>
      <c r="L51" s="17"/>
      <c r="M51" s="17"/>
    </row>
    <row r="52">
      <c r="A52" s="16"/>
      <c r="B52" s="16"/>
      <c r="C52" s="16"/>
      <c r="D52" s="17"/>
      <c r="E52" s="17"/>
      <c r="F52" s="17"/>
      <c r="G52" s="17"/>
      <c r="H52" s="17"/>
      <c r="I52" s="17"/>
      <c r="J52" s="17"/>
      <c r="K52" s="17"/>
      <c r="L52" s="17"/>
      <c r="M52" s="17"/>
    </row>
    <row r="53">
      <c r="A53" s="16"/>
      <c r="B53" s="16"/>
      <c r="C53" s="16"/>
      <c r="D53" s="17"/>
      <c r="E53" s="17"/>
      <c r="F53" s="17"/>
      <c r="G53" s="17"/>
      <c r="H53" s="17"/>
      <c r="I53" s="17"/>
      <c r="J53" s="17"/>
      <c r="K53" s="17"/>
      <c r="L53" s="17"/>
      <c r="M53" s="17"/>
    </row>
    <row r="54">
      <c r="A54" s="16"/>
      <c r="B54" s="16"/>
      <c r="C54" s="16"/>
      <c r="D54" s="17"/>
      <c r="E54" s="17"/>
      <c r="F54" s="17"/>
      <c r="G54" s="17"/>
      <c r="H54" s="17"/>
      <c r="I54" s="17"/>
      <c r="J54" s="17"/>
      <c r="K54" s="17"/>
      <c r="L54" s="17"/>
      <c r="M54" s="17"/>
    </row>
    <row r="55">
      <c r="A55" s="16"/>
      <c r="B55" s="16"/>
      <c r="C55" s="16"/>
      <c r="D55" s="17"/>
      <c r="E55" s="17"/>
      <c r="F55" s="17"/>
      <c r="G55" s="17"/>
      <c r="H55" s="17"/>
      <c r="I55" s="17"/>
      <c r="J55" s="17"/>
      <c r="K55" s="17"/>
      <c r="L55" s="17"/>
      <c r="M55" s="17"/>
    </row>
    <row r="56">
      <c r="A56" s="16"/>
      <c r="B56" s="16"/>
      <c r="C56" s="16"/>
      <c r="D56" s="17"/>
      <c r="E56" s="17"/>
      <c r="F56" s="17"/>
      <c r="G56" s="17"/>
      <c r="H56" s="17"/>
      <c r="I56" s="17"/>
      <c r="J56" s="17"/>
      <c r="K56" s="17"/>
      <c r="L56" s="17"/>
      <c r="M56" s="17"/>
    </row>
    <row r="57">
      <c r="A57" s="16"/>
      <c r="B57" s="16"/>
      <c r="C57" s="16"/>
      <c r="D57" s="17"/>
      <c r="E57" s="17"/>
      <c r="F57" s="17"/>
      <c r="G57" s="17"/>
      <c r="H57" s="17"/>
      <c r="I57" s="17"/>
      <c r="J57" s="17"/>
      <c r="K57" s="17"/>
      <c r="L57" s="17"/>
      <c r="M57" s="17"/>
    </row>
    <row r="58">
      <c r="A58" s="16"/>
      <c r="B58" s="16"/>
      <c r="C58" s="16"/>
      <c r="D58" s="17"/>
      <c r="E58" s="17"/>
      <c r="F58" s="17"/>
      <c r="G58" s="17"/>
      <c r="H58" s="17"/>
      <c r="I58" s="17"/>
      <c r="J58" s="17"/>
      <c r="K58" s="17"/>
      <c r="L58" s="17"/>
      <c r="M58" s="17"/>
    </row>
    <row r="59">
      <c r="A59" s="16"/>
      <c r="B59" s="16"/>
      <c r="C59" s="16"/>
      <c r="D59" s="17"/>
      <c r="E59" s="17"/>
      <c r="F59" s="17"/>
      <c r="G59" s="17"/>
      <c r="H59" s="17"/>
      <c r="I59" s="17"/>
      <c r="J59" s="17"/>
      <c r="K59" s="17"/>
      <c r="L59" s="17"/>
      <c r="M59" s="17"/>
    </row>
    <row r="60">
      <c r="A60" s="16"/>
      <c r="B60" s="16"/>
      <c r="C60" s="16"/>
      <c r="D60" s="17"/>
      <c r="E60" s="17"/>
      <c r="F60" s="17"/>
      <c r="G60" s="17"/>
      <c r="H60" s="17"/>
      <c r="I60" s="17"/>
      <c r="J60" s="17"/>
      <c r="K60" s="17"/>
      <c r="L60" s="17"/>
      <c r="M60" s="17"/>
    </row>
    <row r="61">
      <c r="A61" s="16"/>
      <c r="B61" s="16"/>
      <c r="C61" s="16"/>
      <c r="D61" s="17"/>
      <c r="E61" s="20"/>
      <c r="F61" s="17"/>
      <c r="G61" s="17"/>
      <c r="H61" s="17"/>
      <c r="I61" s="17"/>
      <c r="J61" s="17"/>
      <c r="K61" s="17"/>
      <c r="L61" s="17"/>
      <c r="M61" s="17"/>
    </row>
    <row r="62">
      <c r="A62" s="16"/>
      <c r="B62" s="16"/>
      <c r="C62" s="16"/>
      <c r="D62" s="17"/>
      <c r="E62" s="20"/>
      <c r="F62" s="17"/>
      <c r="G62" s="17"/>
      <c r="H62" s="17"/>
      <c r="I62" s="17"/>
      <c r="J62" s="17"/>
      <c r="K62" s="17"/>
      <c r="L62" s="17"/>
      <c r="M62" s="17"/>
    </row>
    <row r="63">
      <c r="A63" s="16"/>
      <c r="B63" s="16"/>
      <c r="C63" s="16"/>
      <c r="D63" s="17"/>
      <c r="E63" s="21"/>
      <c r="F63" s="17"/>
      <c r="G63" s="17"/>
      <c r="H63" s="17"/>
      <c r="I63" s="17"/>
      <c r="J63" s="17"/>
      <c r="K63" s="17"/>
      <c r="L63" s="17"/>
      <c r="M63" s="17"/>
    </row>
    <row r="64">
      <c r="A64" s="16"/>
      <c r="B64" s="16"/>
      <c r="C64" s="16"/>
      <c r="D64" s="17"/>
      <c r="E64" s="17"/>
      <c r="F64" s="17"/>
      <c r="G64" s="17"/>
      <c r="H64" s="17"/>
      <c r="I64" s="17"/>
      <c r="J64" s="17"/>
      <c r="K64" s="17"/>
      <c r="L64" s="17"/>
      <c r="M64" s="1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25"/>
    <col customWidth="1" min="4" max="4" width="26.88"/>
    <col customWidth="1" min="5" max="5" width="39.88"/>
    <col customWidth="1" min="6" max="6" width="21.5"/>
    <col customWidth="1" min="7" max="7" width="18.25"/>
  </cols>
  <sheetData>
    <row r="2">
      <c r="A2" s="2" t="s">
        <v>193</v>
      </c>
    </row>
    <row r="3">
      <c r="G3" s="3" t="s">
        <v>2</v>
      </c>
    </row>
    <row r="4">
      <c r="A4" s="4" t="s">
        <v>3</v>
      </c>
      <c r="B4" s="4" t="s">
        <v>4</v>
      </c>
      <c r="C4" s="4" t="s">
        <v>5</v>
      </c>
      <c r="D4" s="4" t="s">
        <v>6</v>
      </c>
      <c r="E4" s="4" t="s">
        <v>7</v>
      </c>
      <c r="F4" s="11"/>
      <c r="G4" s="6">
        <v>45292.0</v>
      </c>
      <c r="H4" s="6">
        <v>45323.0</v>
      </c>
      <c r="I4" s="6">
        <v>45352.0</v>
      </c>
      <c r="J4" s="9">
        <v>45505.0</v>
      </c>
      <c r="K4" s="42">
        <v>45620.0</v>
      </c>
      <c r="L4" s="11"/>
      <c r="M4" s="11"/>
      <c r="N4" s="11"/>
      <c r="O4" s="10"/>
    </row>
    <row r="5">
      <c r="A5" s="22">
        <v>1.0</v>
      </c>
      <c r="B5" s="56" t="s">
        <v>194</v>
      </c>
      <c r="C5" s="22" t="s">
        <v>9</v>
      </c>
      <c r="D5" s="22" t="s">
        <v>15</v>
      </c>
      <c r="E5" s="23"/>
      <c r="F5" s="23"/>
      <c r="G5" s="23"/>
      <c r="H5" s="23"/>
      <c r="I5" s="23"/>
      <c r="J5" s="22">
        <v>0.0</v>
      </c>
      <c r="K5" s="22">
        <v>0.0</v>
      </c>
      <c r="L5" s="23"/>
      <c r="M5" s="23"/>
      <c r="N5" s="23"/>
      <c r="O5" s="24"/>
      <c r="P5" s="25"/>
      <c r="Q5" s="25"/>
      <c r="R5" s="25"/>
      <c r="S5" s="25"/>
      <c r="T5" s="25"/>
      <c r="U5" s="25"/>
      <c r="V5" s="25"/>
      <c r="W5" s="25"/>
      <c r="X5" s="25"/>
      <c r="Y5" s="25"/>
      <c r="Z5" s="25"/>
    </row>
    <row r="6">
      <c r="A6" s="34">
        <v>2.0</v>
      </c>
      <c r="B6" s="57" t="s">
        <v>195</v>
      </c>
      <c r="C6" s="34" t="s">
        <v>9</v>
      </c>
      <c r="D6" s="34" t="s">
        <v>130</v>
      </c>
      <c r="E6" s="51" t="str">
        <f>HYPERLINK("https://www-city-asakura-lg-jp.translate.goog/www/contents/1526962456370/index.html?_x_tr_sl=ja&amp;_x_tr_tl=en&amp;_x_tr_hl=en-GB","Link to Asakura city Akiya Bank")</f>
        <v>Link to Asakura city Akiya Bank</v>
      </c>
      <c r="F6" s="36"/>
      <c r="G6" s="36"/>
      <c r="H6" s="36"/>
      <c r="I6" s="36"/>
      <c r="J6" s="34">
        <v>0.0</v>
      </c>
      <c r="K6" s="34">
        <v>0.0</v>
      </c>
      <c r="L6" s="36"/>
      <c r="M6" s="36"/>
      <c r="N6" s="36"/>
      <c r="O6" s="37"/>
      <c r="P6" s="38"/>
      <c r="Q6" s="38"/>
      <c r="R6" s="38"/>
      <c r="S6" s="38"/>
      <c r="T6" s="38"/>
      <c r="U6" s="38"/>
      <c r="V6" s="38"/>
      <c r="W6" s="38"/>
      <c r="X6" s="38"/>
      <c r="Y6" s="38"/>
      <c r="Z6" s="38"/>
    </row>
    <row r="7">
      <c r="A7" s="29">
        <v>3.0</v>
      </c>
      <c r="B7" s="29" t="s">
        <v>196</v>
      </c>
      <c r="C7" s="29" t="s">
        <v>9</v>
      </c>
      <c r="D7" s="29" t="s">
        <v>180</v>
      </c>
      <c r="E7" s="44" t="str">
        <f>HYPERLINK("https://www-town-ashiya-lg-jp.translate.goog/soshiki/7/1224.html?_x_tr_sl=ja&amp;_x_tr_tl=en&amp;_x_tr_hl=en-GB","Link to Ashiya city Akiya Bank")</f>
        <v>Link to Ashiya city Akiya Bank</v>
      </c>
      <c r="F7" s="31"/>
      <c r="G7" s="29"/>
      <c r="H7" s="31"/>
      <c r="I7" s="31"/>
      <c r="J7" s="29">
        <v>6.0</v>
      </c>
      <c r="K7" s="29">
        <v>4.0</v>
      </c>
      <c r="L7" s="31"/>
      <c r="M7" s="31"/>
      <c r="N7" s="31"/>
      <c r="O7" s="32"/>
      <c r="P7" s="33"/>
      <c r="Q7" s="33"/>
      <c r="R7" s="33"/>
      <c r="S7" s="33"/>
      <c r="T7" s="33"/>
      <c r="U7" s="33"/>
      <c r="V7" s="33"/>
      <c r="W7" s="33"/>
      <c r="X7" s="33"/>
      <c r="Y7" s="33"/>
      <c r="Z7" s="33"/>
    </row>
    <row r="8">
      <c r="A8" s="29">
        <v>4.0</v>
      </c>
      <c r="B8" s="29" t="s">
        <v>197</v>
      </c>
      <c r="C8" s="29" t="s">
        <v>9</v>
      </c>
      <c r="D8" s="29" t="s">
        <v>180</v>
      </c>
      <c r="E8" s="44" t="str">
        <f>HYPERLINK("https://www-city-buzen-lg-jp.translate.goog/jutaku/akiya/article_list.html?_x_tr_sl=ja&amp;_x_tr_tl=en&amp;_x_tr_hl=en-GB","Link to Buzen City Akiya Bank")</f>
        <v>Link to Buzen City Akiya Bank</v>
      </c>
      <c r="F8" s="31"/>
      <c r="G8" s="29"/>
      <c r="H8" s="31"/>
      <c r="I8" s="31"/>
      <c r="J8" s="29">
        <v>113.0</v>
      </c>
      <c r="K8" s="29">
        <v>124.0</v>
      </c>
      <c r="L8" s="31"/>
      <c r="M8" s="31"/>
      <c r="N8" s="31"/>
      <c r="O8" s="32"/>
      <c r="P8" s="33"/>
      <c r="Q8" s="33"/>
      <c r="R8" s="33"/>
      <c r="S8" s="33"/>
      <c r="T8" s="33"/>
      <c r="U8" s="33"/>
      <c r="V8" s="33"/>
      <c r="W8" s="33"/>
      <c r="X8" s="33"/>
      <c r="Y8" s="33"/>
      <c r="Z8" s="33"/>
    </row>
    <row r="9">
      <c r="A9" s="29">
        <v>5.0</v>
      </c>
      <c r="B9" s="29" t="s">
        <v>198</v>
      </c>
      <c r="C9" s="29" t="s">
        <v>9</v>
      </c>
      <c r="D9" s="29" t="s">
        <v>199</v>
      </c>
      <c r="E9" s="30" t="str">
        <f>HYPERLINK("https://www-city-chikugo-lg-jp.translate.goog/shisei/_6166/_5790/_5793/akiyabank_list.html?_x_tr_sl=ja&amp;_x_tr_tl=en&amp;_x_tr_hl=en-GB", "Link to Chikugo City Akiyabanku")
</f>
        <v>Link to Chikugo City Akiyabanku</v>
      </c>
      <c r="F9" s="31"/>
      <c r="G9" s="29"/>
      <c r="H9" s="31"/>
      <c r="I9" s="31"/>
      <c r="J9" s="29">
        <v>23.0</v>
      </c>
      <c r="K9" s="29">
        <v>21.0</v>
      </c>
      <c r="L9" s="31"/>
      <c r="M9" s="31"/>
      <c r="N9" s="31"/>
      <c r="O9" s="32"/>
      <c r="P9" s="33"/>
      <c r="Q9" s="33"/>
      <c r="R9" s="33"/>
      <c r="S9" s="33"/>
      <c r="T9" s="33"/>
      <c r="U9" s="33"/>
      <c r="V9" s="33"/>
      <c r="W9" s="33"/>
      <c r="X9" s="33"/>
      <c r="Y9" s="33"/>
      <c r="Z9" s="33"/>
    </row>
    <row r="10">
      <c r="A10" s="34">
        <v>6.0</v>
      </c>
      <c r="B10" s="58" t="s">
        <v>200</v>
      </c>
      <c r="C10" s="34" t="s">
        <v>9</v>
      </c>
      <c r="D10" s="34" t="s">
        <v>130</v>
      </c>
      <c r="E10" s="51" t="str">
        <f>HYPERLINK("https://www-f--takken-com.translate.goog/freins/search/buy/detached/area/40211?_x_tr_sl=ja&amp;_x_tr_tl=en&amp;_x_tr_hl=en-GB","Link To Chikujo Akiya Bank")</f>
        <v>Link To Chikujo Akiya Bank</v>
      </c>
      <c r="F10" s="36"/>
      <c r="G10" s="36"/>
      <c r="H10" s="36"/>
      <c r="I10" s="36"/>
      <c r="J10" s="34">
        <v>0.0</v>
      </c>
      <c r="K10" s="34">
        <v>0.0</v>
      </c>
      <c r="L10" s="36"/>
      <c r="M10" s="36"/>
      <c r="N10" s="36"/>
      <c r="O10" s="37"/>
      <c r="P10" s="38"/>
      <c r="Q10" s="38"/>
      <c r="R10" s="38"/>
      <c r="S10" s="38"/>
      <c r="T10" s="38"/>
      <c r="U10" s="38"/>
      <c r="V10" s="38"/>
      <c r="W10" s="38"/>
      <c r="X10" s="38"/>
      <c r="Y10" s="38"/>
      <c r="Z10" s="38"/>
    </row>
    <row r="11">
      <c r="A11" s="34">
        <v>7.0</v>
      </c>
      <c r="B11" s="34" t="s">
        <v>201</v>
      </c>
      <c r="C11" s="34" t="s">
        <v>9</v>
      </c>
      <c r="D11" s="34" t="s">
        <v>130</v>
      </c>
      <c r="E11" s="51" t="str">
        <f>HYPERLINK("https://www-f--takken-com.translate.goog/freins/search/buy/detached/area/40217?_x_tr_sl=ja&amp;_x_tr_tl=en&amp;_x_tr_hl=en-GB","Link To Chikushino city Akiya Bank")</f>
        <v>Link To Chikushino city Akiya Bank</v>
      </c>
      <c r="F11" s="36"/>
      <c r="G11" s="36"/>
      <c r="H11" s="36"/>
      <c r="I11" s="36"/>
      <c r="J11" s="34">
        <v>0.0</v>
      </c>
      <c r="K11" s="34">
        <v>0.0</v>
      </c>
      <c r="L11" s="36"/>
      <c r="M11" s="36"/>
      <c r="N11" s="36"/>
      <c r="O11" s="37"/>
      <c r="P11" s="38"/>
      <c r="Q11" s="38"/>
      <c r="R11" s="38"/>
      <c r="S11" s="38"/>
      <c r="T11" s="38"/>
      <c r="U11" s="38"/>
      <c r="V11" s="38"/>
      <c r="W11" s="38"/>
      <c r="X11" s="38"/>
      <c r="Y11" s="38"/>
      <c r="Z11" s="38"/>
    </row>
    <row r="12">
      <c r="A12" s="22">
        <v>8.0</v>
      </c>
      <c r="B12" s="22" t="s">
        <v>202</v>
      </c>
      <c r="C12" s="22" t="s">
        <v>9</v>
      </c>
      <c r="D12" s="22" t="s">
        <v>203</v>
      </c>
      <c r="E12" s="50" t="str">
        <f>HYPERLINK("https://www-town-chikuzen-fukuoka-jp.translate.goog/S015/070/20190626140836.html?_x_tr_sl=ja&amp;_x_tr_tl=en&amp;_x_tr_hl=en-GB","Link To Chikuzen City Akiya Bank")</f>
        <v>Link To Chikuzen City Akiya Bank</v>
      </c>
      <c r="F12" s="23"/>
      <c r="G12" s="23"/>
      <c r="H12" s="23"/>
      <c r="I12" s="23"/>
      <c r="J12" s="22">
        <v>0.0</v>
      </c>
      <c r="K12" s="22">
        <v>0.0</v>
      </c>
      <c r="L12" s="23"/>
      <c r="M12" s="23"/>
      <c r="N12" s="23"/>
      <c r="O12" s="24"/>
      <c r="P12" s="25"/>
      <c r="Q12" s="25"/>
      <c r="R12" s="25"/>
      <c r="S12" s="25"/>
      <c r="T12" s="25"/>
      <c r="U12" s="25"/>
      <c r="V12" s="25"/>
      <c r="W12" s="25"/>
      <c r="X12" s="25"/>
      <c r="Y12" s="25"/>
      <c r="Z12" s="25"/>
    </row>
    <row r="13">
      <c r="A13" s="34">
        <v>9.0</v>
      </c>
      <c r="B13" s="34" t="s">
        <v>204</v>
      </c>
      <c r="C13" s="34" t="s">
        <v>9</v>
      </c>
      <c r="D13" s="34" t="s">
        <v>130</v>
      </c>
      <c r="E13" s="51" t="str">
        <f>HYPERLINK("https://www-f--takken-com.translate.goog/freins/search/buy/detached/area/40221?_x_tr_sl=ja&amp;_x_tr_tl=en&amp;_x_tr_hl=en-GB","Link To Dazaifu City Akiya Bank")</f>
        <v>Link To Dazaifu City Akiya Bank</v>
      </c>
      <c r="F13" s="36"/>
      <c r="G13" s="36"/>
      <c r="H13" s="36"/>
      <c r="I13" s="36"/>
      <c r="J13" s="34">
        <v>0.0</v>
      </c>
      <c r="K13" s="34">
        <v>0.0</v>
      </c>
      <c r="L13" s="36"/>
      <c r="M13" s="36"/>
      <c r="N13" s="36"/>
      <c r="O13" s="37"/>
      <c r="P13" s="38"/>
      <c r="Q13" s="38"/>
      <c r="R13" s="38"/>
      <c r="S13" s="38"/>
      <c r="T13" s="38"/>
      <c r="U13" s="38"/>
      <c r="V13" s="38"/>
      <c r="W13" s="38"/>
      <c r="X13" s="38"/>
      <c r="Y13" s="38"/>
      <c r="Z13" s="38"/>
    </row>
    <row r="14">
      <c r="A14" s="34">
        <v>10.0</v>
      </c>
      <c r="B14" s="34" t="s">
        <v>205</v>
      </c>
      <c r="C14" s="34" t="s">
        <v>9</v>
      </c>
      <c r="D14" s="34" t="s">
        <v>130</v>
      </c>
      <c r="E14" s="51" t="str">
        <f>HYPERLINK("https://fukuchi--life-com.translate.goog/buy/?_x_tr_sch=http&amp;_x_tr_sl=ja&amp;_x_tr_tl=en&amp;_x_tr_hl=en-GB","Link To Fukuchi City Akiya Bank")</f>
        <v>Link To Fukuchi City Akiya Bank</v>
      </c>
      <c r="F14" s="36"/>
      <c r="G14" s="34"/>
      <c r="H14" s="36"/>
      <c r="I14" s="36"/>
      <c r="J14" s="34">
        <v>46.0</v>
      </c>
      <c r="K14" s="34">
        <v>41.0</v>
      </c>
      <c r="L14" s="36"/>
      <c r="M14" s="36"/>
      <c r="N14" s="36"/>
      <c r="O14" s="37"/>
      <c r="P14" s="38"/>
      <c r="Q14" s="38"/>
      <c r="R14" s="38"/>
      <c r="S14" s="38"/>
      <c r="T14" s="38"/>
      <c r="U14" s="38"/>
      <c r="V14" s="38"/>
      <c r="W14" s="38"/>
      <c r="X14" s="38"/>
      <c r="Y14" s="38"/>
      <c r="Z14" s="38"/>
    </row>
    <row r="15">
      <c r="A15" s="22">
        <v>11.0</v>
      </c>
      <c r="B15" s="22" t="s">
        <v>206</v>
      </c>
      <c r="C15" s="22" t="s">
        <v>9</v>
      </c>
      <c r="D15" s="22" t="s">
        <v>203</v>
      </c>
      <c r="E15" s="50" t="str">
        <f>HYPERLINK("Taking to private website, but still no akiyas present","Link To Fukuoka City Akiya Bank")</f>
        <v>Link To Fukuoka City Akiya Bank</v>
      </c>
      <c r="F15" s="23"/>
      <c r="G15" s="23"/>
      <c r="H15" s="23"/>
      <c r="I15" s="23"/>
      <c r="J15" s="22">
        <v>0.0</v>
      </c>
      <c r="K15" s="22">
        <v>0.0</v>
      </c>
      <c r="L15" s="23"/>
      <c r="M15" s="23"/>
      <c r="N15" s="23"/>
      <c r="O15" s="24"/>
      <c r="P15" s="25"/>
      <c r="Q15" s="25"/>
      <c r="R15" s="25"/>
      <c r="S15" s="25"/>
      <c r="T15" s="25"/>
      <c r="U15" s="25"/>
      <c r="V15" s="25"/>
      <c r="W15" s="25"/>
      <c r="X15" s="25"/>
      <c r="Y15" s="25"/>
      <c r="Z15" s="25"/>
    </row>
    <row r="16">
      <c r="A16" s="22">
        <v>12.0</v>
      </c>
      <c r="B16" s="22" t="s">
        <v>207</v>
      </c>
      <c r="C16" s="22" t="s">
        <v>9</v>
      </c>
      <c r="D16" s="22" t="s">
        <v>203</v>
      </c>
      <c r="E16" s="27" t="s">
        <v>208</v>
      </c>
      <c r="F16" s="23"/>
      <c r="G16" s="23"/>
      <c r="H16" s="23"/>
      <c r="I16" s="23"/>
      <c r="J16" s="22">
        <v>0.0</v>
      </c>
      <c r="K16" s="22">
        <v>0.0</v>
      </c>
      <c r="L16" s="23"/>
      <c r="M16" s="23"/>
      <c r="N16" s="23"/>
      <c r="O16" s="24"/>
      <c r="P16" s="25"/>
      <c r="Q16" s="25"/>
      <c r="R16" s="25"/>
      <c r="S16" s="25"/>
      <c r="T16" s="25"/>
      <c r="U16" s="25"/>
      <c r="V16" s="25"/>
      <c r="W16" s="25"/>
      <c r="X16" s="25"/>
      <c r="Y16" s="25"/>
      <c r="Z16" s="25"/>
    </row>
    <row r="17">
      <c r="A17" s="22">
        <v>13.0</v>
      </c>
      <c r="B17" s="22" t="s">
        <v>209</v>
      </c>
      <c r="C17" s="22" t="s">
        <v>9</v>
      </c>
      <c r="D17" s="22" t="s">
        <v>203</v>
      </c>
      <c r="E17" s="50" t="str">
        <f>HYPERLINK("https://www.town.hirokawa.fukuoka.jp/cgi-bin/recruit.php/1/list","Link To Hirokawa City Akiya Bank")</f>
        <v>Link To Hirokawa City Akiya Bank</v>
      </c>
      <c r="F17" s="22"/>
      <c r="G17" s="23"/>
      <c r="H17" s="23"/>
      <c r="I17" s="23"/>
      <c r="J17" s="22">
        <v>0.0</v>
      </c>
      <c r="K17" s="22">
        <v>0.0</v>
      </c>
      <c r="L17" s="23"/>
      <c r="M17" s="23"/>
      <c r="N17" s="23"/>
      <c r="O17" s="24"/>
      <c r="P17" s="25"/>
      <c r="Q17" s="25"/>
      <c r="R17" s="25"/>
      <c r="S17" s="25"/>
      <c r="T17" s="25"/>
      <c r="U17" s="25"/>
      <c r="V17" s="25"/>
      <c r="W17" s="25"/>
      <c r="X17" s="25"/>
      <c r="Y17" s="25"/>
      <c r="Z17" s="25"/>
    </row>
    <row r="18">
      <c r="A18" s="22">
        <v>14.0</v>
      </c>
      <c r="B18" s="22" t="s">
        <v>210</v>
      </c>
      <c r="C18" s="22" t="s">
        <v>9</v>
      </c>
      <c r="D18" s="22" t="s">
        <v>15</v>
      </c>
      <c r="E18" s="23"/>
      <c r="F18" s="23"/>
      <c r="G18" s="23"/>
      <c r="H18" s="23"/>
      <c r="I18" s="23"/>
      <c r="J18" s="22">
        <v>0.0</v>
      </c>
      <c r="K18" s="22">
        <v>0.0</v>
      </c>
      <c r="L18" s="23"/>
      <c r="M18" s="23"/>
      <c r="N18" s="23"/>
      <c r="O18" s="24"/>
      <c r="P18" s="25"/>
      <c r="Q18" s="25"/>
      <c r="R18" s="25"/>
      <c r="S18" s="25"/>
      <c r="T18" s="25"/>
      <c r="U18" s="25"/>
      <c r="V18" s="25"/>
      <c r="W18" s="25"/>
      <c r="X18" s="25"/>
      <c r="Y18" s="25"/>
      <c r="Z18" s="25"/>
    </row>
    <row r="19">
      <c r="A19" s="34">
        <v>16.0</v>
      </c>
      <c r="B19" s="34" t="s">
        <v>211</v>
      </c>
      <c r="C19" s="34" t="s">
        <v>9</v>
      </c>
      <c r="D19" s="34" t="s">
        <v>130</v>
      </c>
      <c r="E19" s="51" t="str">
        <f>HYPERLINK("https://www-city-iizuka-lg-jp.translate.goog/jyuutakuakiya/banku.html?_x_tr_sl=ja&amp;_x_tr_tl=en&amp;_x_tr_hl=en-GB","Link To Iizuka City Akiya Bank")</f>
        <v>Link To Iizuka City Akiya Bank</v>
      </c>
      <c r="F19" s="36"/>
      <c r="G19" s="36"/>
      <c r="H19" s="36"/>
      <c r="I19" s="36"/>
      <c r="J19" s="34">
        <v>0.0</v>
      </c>
      <c r="K19" s="34">
        <v>0.0</v>
      </c>
      <c r="L19" s="36"/>
      <c r="M19" s="36"/>
      <c r="N19" s="36"/>
      <c r="O19" s="37"/>
      <c r="P19" s="38"/>
      <c r="Q19" s="38"/>
      <c r="R19" s="38"/>
      <c r="S19" s="38"/>
      <c r="T19" s="38"/>
      <c r="U19" s="38"/>
      <c r="V19" s="38"/>
      <c r="W19" s="38"/>
      <c r="X19" s="38"/>
      <c r="Y19" s="38"/>
      <c r="Z19" s="38"/>
    </row>
    <row r="20">
      <c r="A20" s="22">
        <v>17.0</v>
      </c>
      <c r="B20" s="22" t="s">
        <v>212</v>
      </c>
      <c r="C20" s="22" t="s">
        <v>9</v>
      </c>
      <c r="D20" s="22" t="s">
        <v>203</v>
      </c>
      <c r="E20" s="50" t="str">
        <f>HYPERLINK("https://akiyabank-f--takken-com.translate.goog/towns/itoda?_x_tr_sl=ja&amp;_x_tr_tl=en&amp;_x_tr_hl=en-GB","Link To Itoda City Akiya Bank")</f>
        <v>Link To Itoda City Akiya Bank</v>
      </c>
      <c r="F20" s="23"/>
      <c r="G20" s="23"/>
      <c r="H20" s="23"/>
      <c r="I20" s="23"/>
      <c r="J20" s="22">
        <v>0.0</v>
      </c>
      <c r="K20" s="22">
        <v>0.0</v>
      </c>
      <c r="L20" s="23"/>
      <c r="M20" s="23"/>
      <c r="N20" s="23"/>
      <c r="O20" s="24"/>
      <c r="P20" s="25"/>
      <c r="Q20" s="25"/>
      <c r="R20" s="25"/>
      <c r="S20" s="25"/>
      <c r="T20" s="25"/>
      <c r="U20" s="25"/>
      <c r="V20" s="25"/>
      <c r="W20" s="25"/>
      <c r="X20" s="25"/>
      <c r="Y20" s="25"/>
      <c r="Z20" s="25"/>
    </row>
    <row r="21">
      <c r="A21" s="34">
        <v>18.0</v>
      </c>
      <c r="B21" s="34" t="s">
        <v>213</v>
      </c>
      <c r="C21" s="34" t="s">
        <v>9</v>
      </c>
      <c r="D21" s="34" t="s">
        <v>130</v>
      </c>
      <c r="E21" s="51" t="str">
        <f>HYPERLINK("https://itoshimalife-city-itoshima-lg-jp.translate.goog/live/bank/list/?_x_tr_sl=ja&amp;_x_tr_tl=en&amp;_x_tr_hl=en-GB","Link To Itoshima City Akiya Bank")</f>
        <v>Link To Itoshima City Akiya Bank</v>
      </c>
      <c r="F21" s="36"/>
      <c r="G21" s="36"/>
      <c r="H21" s="36"/>
      <c r="I21" s="36"/>
      <c r="J21" s="34">
        <v>0.0</v>
      </c>
      <c r="K21" s="34">
        <v>0.0</v>
      </c>
      <c r="L21" s="36"/>
      <c r="M21" s="36"/>
      <c r="N21" s="36"/>
      <c r="O21" s="37"/>
      <c r="P21" s="38"/>
      <c r="Q21" s="38"/>
      <c r="R21" s="38"/>
      <c r="S21" s="38"/>
      <c r="T21" s="38"/>
      <c r="U21" s="38"/>
      <c r="V21" s="38"/>
      <c r="W21" s="38"/>
      <c r="X21" s="38"/>
      <c r="Y21" s="38"/>
      <c r="Z21" s="38"/>
    </row>
    <row r="22">
      <c r="A22" s="29">
        <v>19.0</v>
      </c>
      <c r="B22" s="29" t="s">
        <v>214</v>
      </c>
      <c r="C22" s="29" t="s">
        <v>9</v>
      </c>
      <c r="D22" s="29" t="s">
        <v>180</v>
      </c>
      <c r="E22" s="44" t="str">
        <f>HYPERLINK("https://www-city-kama-lg-jp.translate.goog/soshiki/20/2367.html?_x_tr_sl=ja&amp;_x_tr_tl=en&amp;_x_tr_hl=en-GB","Link To Kama City Akiya Bank")</f>
        <v>Link To Kama City Akiya Bank</v>
      </c>
      <c r="F22" s="31"/>
      <c r="G22" s="31"/>
      <c r="H22" s="31"/>
      <c r="I22" s="31"/>
      <c r="J22" s="29">
        <v>0.0</v>
      </c>
      <c r="K22" s="29">
        <v>0.0</v>
      </c>
      <c r="L22" s="31"/>
      <c r="M22" s="31"/>
      <c r="N22" s="31"/>
      <c r="O22" s="32"/>
      <c r="P22" s="33"/>
      <c r="Q22" s="33"/>
      <c r="R22" s="33"/>
      <c r="S22" s="33"/>
      <c r="T22" s="33"/>
      <c r="U22" s="33"/>
      <c r="V22" s="33"/>
      <c r="W22" s="33"/>
      <c r="X22" s="33"/>
      <c r="Y22" s="33"/>
      <c r="Z22" s="33"/>
    </row>
    <row r="23">
      <c r="A23" s="34">
        <v>20.0</v>
      </c>
      <c r="B23" s="34" t="s">
        <v>215</v>
      </c>
      <c r="C23" s="34" t="s">
        <v>9</v>
      </c>
      <c r="D23" s="34" t="s">
        <v>130</v>
      </c>
      <c r="E23" s="51" t="str">
        <f>HYPERLINK("https://www-f--takken-com.translate.goog/freins/search/buy/detached/area/40621?_x_tr_sl=ja&amp;_x_tr_tl=en&amp;_x_tr_hl=en-GB","Link To Kanda City Akiya Bank")</f>
        <v>Link To Kanda City Akiya Bank</v>
      </c>
      <c r="F23" s="36"/>
      <c r="G23" s="36"/>
      <c r="H23" s="36"/>
      <c r="I23" s="36"/>
      <c r="J23" s="34">
        <v>0.0</v>
      </c>
      <c r="K23" s="34">
        <v>0.0</v>
      </c>
      <c r="L23" s="36"/>
      <c r="M23" s="36"/>
      <c r="N23" s="36"/>
      <c r="O23" s="37"/>
      <c r="P23" s="38"/>
      <c r="Q23" s="38"/>
      <c r="R23" s="38"/>
      <c r="S23" s="38"/>
      <c r="T23" s="38"/>
      <c r="U23" s="38"/>
      <c r="V23" s="38"/>
      <c r="W23" s="38"/>
      <c r="X23" s="38"/>
      <c r="Y23" s="38"/>
      <c r="Z23" s="38"/>
    </row>
    <row r="24">
      <c r="A24" s="34">
        <v>21.0</v>
      </c>
      <c r="B24" s="34" t="s">
        <v>216</v>
      </c>
      <c r="C24" s="34" t="s">
        <v>9</v>
      </c>
      <c r="D24" s="34" t="s">
        <v>130</v>
      </c>
      <c r="E24" s="35" t="str">
        <f>HYPERLINK("https://www-f--takken-com.translate.goog/freins/search/buy/detached/area/40218?_x_tr_sl=ja&amp;_x_tr_tl=en&amp;_x_tr_hl=en-GB", "Link to Kasuga Akiya Bank")
</f>
        <v>Link to Kasuga Akiya Bank</v>
      </c>
      <c r="F24" s="36"/>
      <c r="G24" s="36"/>
      <c r="H24" s="34"/>
      <c r="I24" s="36"/>
      <c r="J24" s="34">
        <v>0.0</v>
      </c>
      <c r="K24" s="34">
        <v>0.0</v>
      </c>
      <c r="L24" s="36"/>
      <c r="M24" s="36"/>
      <c r="N24" s="36"/>
      <c r="O24" s="37"/>
      <c r="P24" s="38"/>
      <c r="Q24" s="38"/>
      <c r="R24" s="38"/>
      <c r="S24" s="38"/>
      <c r="T24" s="38"/>
      <c r="U24" s="38"/>
      <c r="V24" s="38"/>
      <c r="W24" s="38"/>
      <c r="X24" s="38"/>
      <c r="Y24" s="38"/>
      <c r="Z24" s="38"/>
    </row>
    <row r="25">
      <c r="A25" s="34">
        <v>22.0</v>
      </c>
      <c r="B25" s="34" t="s">
        <v>217</v>
      </c>
      <c r="C25" s="34" t="s">
        <v>9</v>
      </c>
      <c r="D25" s="34" t="s">
        <v>130</v>
      </c>
      <c r="E25" s="35" t="str">
        <f>HYPERLINK("https://www-f--takken-com.translate.goog/freins/search/buy/detached/area/40349?_x_tr_sl=ja&amp;_x_tr_tl=en&amp;_x_tr_hl=en-GB", "Link to Kasuya Akiya Bank")
</f>
        <v>Link to Kasuya Akiya Bank</v>
      </c>
      <c r="F25" s="36"/>
      <c r="G25" s="36"/>
      <c r="H25" s="36"/>
      <c r="I25" s="36"/>
      <c r="J25" s="34">
        <v>0.0</v>
      </c>
      <c r="K25" s="34">
        <v>0.0</v>
      </c>
      <c r="L25" s="36"/>
      <c r="M25" s="36"/>
      <c r="N25" s="36"/>
      <c r="O25" s="37"/>
      <c r="P25" s="38"/>
      <c r="Q25" s="38"/>
      <c r="R25" s="38"/>
      <c r="S25" s="38"/>
      <c r="T25" s="38"/>
      <c r="U25" s="38"/>
      <c r="V25" s="38"/>
      <c r="W25" s="38"/>
      <c r="X25" s="38"/>
      <c r="Y25" s="38"/>
      <c r="Z25" s="38"/>
    </row>
    <row r="26">
      <c r="A26" s="34">
        <v>23.0</v>
      </c>
      <c r="B26" s="34" t="s">
        <v>218</v>
      </c>
      <c r="C26" s="34" t="s">
        <v>9</v>
      </c>
      <c r="D26" s="34" t="s">
        <v>130</v>
      </c>
      <c r="E26" s="35" t="str">
        <f>HYPERLINK("https://www-town-kawara-fukuoka-jp.translate.goog/bank/all/?_x_tr_sl=ja&amp;_x_tr_tl=en&amp;_x_tr_hl=en-GB", "Link to Kawara Akiya Bank")
</f>
        <v>Link to Kawara Akiya Bank</v>
      </c>
      <c r="F26" s="36"/>
      <c r="G26" s="34"/>
      <c r="H26" s="36"/>
      <c r="I26" s="36"/>
      <c r="J26" s="34">
        <v>46.0</v>
      </c>
      <c r="K26" s="34">
        <v>45.0</v>
      </c>
      <c r="L26" s="36"/>
      <c r="M26" s="36"/>
      <c r="N26" s="36"/>
      <c r="O26" s="37"/>
      <c r="P26" s="38"/>
      <c r="Q26" s="38"/>
      <c r="R26" s="38"/>
      <c r="S26" s="38"/>
      <c r="T26" s="38"/>
      <c r="U26" s="38"/>
      <c r="V26" s="38"/>
      <c r="W26" s="38"/>
      <c r="X26" s="38"/>
      <c r="Y26" s="38"/>
      <c r="Z26" s="38"/>
    </row>
    <row r="27">
      <c r="A27" s="22">
        <v>24.0</v>
      </c>
      <c r="B27" s="22" t="s">
        <v>219</v>
      </c>
      <c r="C27" s="22" t="s">
        <v>9</v>
      </c>
      <c r="D27" s="22" t="s">
        <v>203</v>
      </c>
      <c r="E27" s="23"/>
      <c r="F27" s="23"/>
      <c r="G27" s="23"/>
      <c r="H27" s="23"/>
      <c r="I27" s="23"/>
      <c r="J27" s="22">
        <v>0.0</v>
      </c>
      <c r="K27" s="22">
        <v>0.0</v>
      </c>
      <c r="L27" s="23"/>
      <c r="M27" s="23"/>
      <c r="N27" s="23"/>
      <c r="O27" s="24"/>
      <c r="P27" s="25"/>
      <c r="Q27" s="25"/>
      <c r="R27" s="25"/>
      <c r="S27" s="25"/>
      <c r="T27" s="25"/>
      <c r="U27" s="25"/>
      <c r="V27" s="25"/>
      <c r="W27" s="25"/>
      <c r="X27" s="25"/>
      <c r="Y27" s="25"/>
      <c r="Z27" s="25"/>
    </row>
    <row r="28">
      <c r="A28" s="34">
        <v>25.0</v>
      </c>
      <c r="B28" s="34" t="s">
        <v>220</v>
      </c>
      <c r="C28" s="34" t="s">
        <v>9</v>
      </c>
      <c r="D28" s="34" t="s">
        <v>130</v>
      </c>
      <c r="E28" s="51" t="str">
        <f>HYPERLINK("https://www-f--takken-com.translate.goog/freins/search/buy/detached/area/40421?_x_tr_sl=ja&amp;_x_tr_tl=en&amp;_x_tr_hl=en-GB","Link To Keisen Akiya Bank")</f>
        <v>Link To Keisen Akiya Bank</v>
      </c>
      <c r="F28" s="36"/>
      <c r="G28" s="36"/>
      <c r="H28" s="36"/>
      <c r="I28" s="36"/>
      <c r="J28" s="34">
        <v>0.0</v>
      </c>
      <c r="K28" s="34">
        <v>0.0</v>
      </c>
      <c r="L28" s="36"/>
      <c r="M28" s="36"/>
      <c r="N28" s="36"/>
      <c r="O28" s="37"/>
      <c r="P28" s="38"/>
      <c r="Q28" s="38"/>
      <c r="R28" s="38"/>
      <c r="S28" s="38"/>
      <c r="T28" s="38"/>
      <c r="U28" s="38"/>
      <c r="V28" s="38"/>
      <c r="W28" s="38"/>
      <c r="X28" s="38"/>
      <c r="Y28" s="38"/>
      <c r="Z28" s="38"/>
    </row>
    <row r="29">
      <c r="A29" s="34">
        <v>26.0</v>
      </c>
      <c r="B29" s="34" t="s">
        <v>221</v>
      </c>
      <c r="C29" s="34" t="s">
        <v>9</v>
      </c>
      <c r="D29" s="34" t="s">
        <v>130</v>
      </c>
      <c r="E29" s="51" t="str">
        <f>HYPERLINK("https://www-city-kitakyushu-lg-jp.translate.goog/ken-to/07400182.html?_x_tr_sl=ja&amp;_x_tr_tl=en&amp;_x_tr_hl=en-GB","Link To Kitakyushu Akiya Bank")</f>
        <v>Link To Kitakyushu Akiya Bank</v>
      </c>
      <c r="F29" s="36"/>
      <c r="G29" s="36"/>
      <c r="H29" s="36"/>
      <c r="I29" s="36"/>
      <c r="J29" s="34">
        <v>0.0</v>
      </c>
      <c r="K29" s="34">
        <v>0.0</v>
      </c>
      <c r="L29" s="36"/>
      <c r="M29" s="36"/>
      <c r="N29" s="36"/>
      <c r="O29" s="37"/>
      <c r="P29" s="38"/>
      <c r="Q29" s="38"/>
      <c r="R29" s="38"/>
      <c r="S29" s="38"/>
      <c r="T29" s="38"/>
      <c r="U29" s="38"/>
      <c r="V29" s="38"/>
      <c r="W29" s="38"/>
      <c r="X29" s="38"/>
      <c r="Y29" s="38"/>
      <c r="Z29" s="38"/>
    </row>
    <row r="30">
      <c r="A30" s="34">
        <v>27.0</v>
      </c>
      <c r="B30" s="34" t="s">
        <v>222</v>
      </c>
      <c r="C30" s="34" t="s">
        <v>9</v>
      </c>
      <c r="D30" s="34" t="s">
        <v>130</v>
      </c>
      <c r="E30" s="51" t="str">
        <f>HYPERLINK("https://www-city-koga-fukuoka-jp.translate.goog/cityhall/work/toshikeikaku/bank/akiya/?_x_tr_sl=ja&amp;_x_tr_tl=en&amp;_x_tr_hl=en-GB","Link To Koga Akiya Bank")</f>
        <v>Link To Koga Akiya Bank</v>
      </c>
      <c r="F30" s="36"/>
      <c r="G30" s="34"/>
      <c r="H30" s="36"/>
      <c r="I30" s="36"/>
      <c r="J30" s="34">
        <v>2.0</v>
      </c>
      <c r="K30" s="34">
        <v>0.0</v>
      </c>
      <c r="L30" s="36"/>
      <c r="M30" s="36"/>
      <c r="N30" s="36"/>
      <c r="O30" s="37"/>
      <c r="P30" s="38"/>
      <c r="Q30" s="38"/>
      <c r="R30" s="38"/>
      <c r="S30" s="38"/>
      <c r="T30" s="38"/>
      <c r="U30" s="38"/>
      <c r="V30" s="38"/>
      <c r="W30" s="38"/>
      <c r="X30" s="38"/>
      <c r="Y30" s="38"/>
      <c r="Z30" s="38"/>
    </row>
    <row r="31">
      <c r="A31" s="22">
        <v>28.0</v>
      </c>
      <c r="B31" s="22" t="s">
        <v>223</v>
      </c>
      <c r="C31" s="22" t="s">
        <v>9</v>
      </c>
      <c r="D31" s="22" t="s">
        <v>203</v>
      </c>
      <c r="E31" s="23"/>
      <c r="F31" s="23"/>
      <c r="G31" s="23"/>
      <c r="H31" s="23"/>
      <c r="I31" s="23"/>
      <c r="J31" s="22">
        <v>0.0</v>
      </c>
      <c r="K31" s="22">
        <v>0.0</v>
      </c>
      <c r="L31" s="23"/>
      <c r="M31" s="23"/>
      <c r="N31" s="23"/>
      <c r="O31" s="24"/>
      <c r="P31" s="25"/>
      <c r="Q31" s="25"/>
      <c r="R31" s="25"/>
      <c r="S31" s="25"/>
      <c r="T31" s="25"/>
      <c r="U31" s="25"/>
      <c r="V31" s="25"/>
      <c r="W31" s="25"/>
      <c r="X31" s="25"/>
      <c r="Y31" s="25"/>
      <c r="Z31" s="25"/>
    </row>
    <row r="32">
      <c r="A32" s="34">
        <v>29.0</v>
      </c>
      <c r="B32" s="34" t="s">
        <v>224</v>
      </c>
      <c r="C32" s="34" t="s">
        <v>9</v>
      </c>
      <c r="D32" s="34" t="s">
        <v>130</v>
      </c>
      <c r="E32" s="35" t="str">
        <f>HYPERLINK("https://www-town-kurate-lg-jp.translate.goog/syoukai/akiyabank/bukken_ichiran.html?_x_tr_sl=ja&amp;_x_tr_tl=en&amp;_x_tr_hl=en-GB", "Link to Kurate City Akiya Bank")
</f>
        <v>Link to Kurate City Akiya Bank</v>
      </c>
      <c r="F32" s="36"/>
      <c r="G32" s="34"/>
      <c r="H32" s="36"/>
      <c r="I32" s="36"/>
      <c r="J32" s="34">
        <v>20.0</v>
      </c>
      <c r="K32" s="34">
        <v>23.0</v>
      </c>
      <c r="L32" s="36"/>
      <c r="M32" s="36"/>
      <c r="N32" s="36"/>
      <c r="O32" s="37"/>
      <c r="P32" s="38"/>
      <c r="Q32" s="38"/>
      <c r="R32" s="38"/>
      <c r="S32" s="38"/>
      <c r="T32" s="38"/>
      <c r="U32" s="38"/>
      <c r="V32" s="38"/>
      <c r="W32" s="38"/>
      <c r="X32" s="38"/>
      <c r="Y32" s="38"/>
      <c r="Z32" s="38"/>
    </row>
    <row r="33">
      <c r="A33" s="22">
        <v>30.0</v>
      </c>
      <c r="B33" s="22" t="s">
        <v>225</v>
      </c>
      <c r="C33" s="22" t="s">
        <v>9</v>
      </c>
      <c r="D33" s="22" t="s">
        <v>15</v>
      </c>
      <c r="E33" s="23"/>
      <c r="F33" s="23"/>
      <c r="G33" s="23"/>
      <c r="H33" s="23"/>
      <c r="I33" s="23"/>
      <c r="J33" s="22">
        <v>0.0</v>
      </c>
      <c r="K33" s="22">
        <v>0.0</v>
      </c>
      <c r="L33" s="23"/>
      <c r="M33" s="23"/>
      <c r="N33" s="23"/>
      <c r="O33" s="24"/>
      <c r="P33" s="25"/>
      <c r="Q33" s="25"/>
      <c r="R33" s="25"/>
      <c r="S33" s="25"/>
      <c r="T33" s="25"/>
      <c r="U33" s="25"/>
      <c r="V33" s="25"/>
      <c r="W33" s="25"/>
      <c r="X33" s="25"/>
      <c r="Y33" s="25"/>
      <c r="Z33" s="25"/>
    </row>
    <row r="34">
      <c r="A34" s="34">
        <v>31.0</v>
      </c>
      <c r="B34" s="34" t="s">
        <v>226</v>
      </c>
      <c r="C34" s="34" t="s">
        <v>9</v>
      </c>
      <c r="D34" s="34" t="s">
        <v>130</v>
      </c>
      <c r="E34" s="59" t="str">
        <f>HYPERLINK("https://www-town-koge-lg-jp.translate.goog/cgi-bin/recruit.php/1/list?_x_tr_sl=ja&amp;_x_tr_tl=en&amp;_x_tr_hl=en-GB","Link To Koge Akiya Bank")</f>
        <v>Link To Koge Akiya Bank</v>
      </c>
      <c r="F34" s="36"/>
      <c r="G34" s="34"/>
      <c r="H34" s="36"/>
      <c r="I34" s="36"/>
      <c r="J34" s="34">
        <v>13.0</v>
      </c>
      <c r="K34" s="34">
        <v>13.0</v>
      </c>
      <c r="L34" s="36"/>
      <c r="M34" s="36"/>
      <c r="N34" s="36"/>
      <c r="O34" s="37"/>
      <c r="P34" s="38"/>
      <c r="Q34" s="38"/>
      <c r="R34" s="38"/>
      <c r="S34" s="38"/>
      <c r="T34" s="38"/>
      <c r="U34" s="38"/>
      <c r="V34" s="38"/>
      <c r="W34" s="38"/>
      <c r="X34" s="38"/>
      <c r="Y34" s="38"/>
      <c r="Z34" s="38"/>
    </row>
    <row r="35">
      <c r="A35" s="34">
        <v>32.0</v>
      </c>
      <c r="B35" s="34" t="s">
        <v>227</v>
      </c>
      <c r="C35" s="34" t="s">
        <v>9</v>
      </c>
      <c r="D35" s="34" t="s">
        <v>130</v>
      </c>
      <c r="E35" s="59" t="str">
        <f>HYPERLINK("https://www-town-miyako-lg-jp.translate.goog/kannkoumachidukuri3/akiya_bk/housinginformation/typeofcontract/sale.html?_x_tr_sl=ja&amp;_x_tr_tl=en&amp;_x_tr_hl=en-GB","Link To Miyako Akiya Bank")</f>
        <v>Link To Miyako Akiya Bank</v>
      </c>
      <c r="F35" s="36"/>
      <c r="G35" s="36"/>
      <c r="H35" s="36"/>
      <c r="I35" s="36"/>
      <c r="J35" s="34">
        <v>0.0</v>
      </c>
      <c r="K35" s="34">
        <v>0.0</v>
      </c>
      <c r="L35" s="36"/>
      <c r="M35" s="36"/>
      <c r="N35" s="36"/>
      <c r="O35" s="37"/>
      <c r="P35" s="38"/>
      <c r="Q35" s="38"/>
      <c r="R35" s="38"/>
      <c r="S35" s="38"/>
      <c r="T35" s="38"/>
      <c r="U35" s="38"/>
      <c r="V35" s="38"/>
      <c r="W35" s="38"/>
      <c r="X35" s="38"/>
      <c r="Y35" s="38"/>
      <c r="Z35" s="38"/>
    </row>
    <row r="36">
      <c r="A36" s="34">
        <v>33.0</v>
      </c>
      <c r="B36" s="34" t="s">
        <v>228</v>
      </c>
      <c r="C36" s="34" t="s">
        <v>9</v>
      </c>
      <c r="D36" s="34" t="s">
        <v>130</v>
      </c>
      <c r="E36" s="59" t="str">
        <f>HYPERLINK("https://www-city-miyama-lg-jp.translate.goog/sp001/search/index.html?_x_tr_sl=ja&amp;_x_tr_tl=en&amp;_x_tr_hl=en-GB","Link To Miyama Akiya Bank")</f>
        <v>Link To Miyama Akiya Bank</v>
      </c>
      <c r="F36" s="36"/>
      <c r="G36" s="34"/>
      <c r="H36" s="36"/>
      <c r="I36" s="36"/>
      <c r="J36" s="34">
        <v>29.0</v>
      </c>
      <c r="K36" s="34">
        <v>28.0</v>
      </c>
      <c r="L36" s="36"/>
      <c r="M36" s="36"/>
      <c r="N36" s="36"/>
      <c r="O36" s="37"/>
      <c r="P36" s="38"/>
      <c r="Q36" s="38"/>
      <c r="R36" s="38"/>
      <c r="S36" s="38"/>
      <c r="T36" s="38"/>
      <c r="U36" s="38"/>
      <c r="V36" s="38"/>
      <c r="W36" s="38"/>
      <c r="X36" s="38"/>
      <c r="Y36" s="38"/>
      <c r="Z36" s="38"/>
    </row>
    <row r="37">
      <c r="A37" s="34">
        <v>34.0</v>
      </c>
      <c r="B37" s="34" t="s">
        <v>229</v>
      </c>
      <c r="C37" s="34" t="s">
        <v>9</v>
      </c>
      <c r="D37" s="34" t="s">
        <v>130</v>
      </c>
      <c r="E37" s="59" t="str">
        <f>HYPERLINK("https://www-city-miyawaka-lg-jp.translate.goog/teiju/list00348.html?_x_tr_sl=ja&amp;_x_tr_tl=en&amp;_x_tr_hl=en-GB","Link To Miyawaka Akiya Bank")</f>
        <v>Link To Miyawaka Akiya Bank</v>
      </c>
      <c r="F37" s="36"/>
      <c r="G37" s="36"/>
      <c r="H37" s="36"/>
      <c r="I37" s="36"/>
      <c r="J37" s="34">
        <v>0.0</v>
      </c>
      <c r="K37" s="34">
        <v>0.0</v>
      </c>
      <c r="L37" s="36"/>
      <c r="M37" s="36"/>
      <c r="N37" s="36"/>
      <c r="O37" s="37"/>
      <c r="P37" s="38"/>
      <c r="Q37" s="38"/>
      <c r="R37" s="38"/>
      <c r="S37" s="38"/>
      <c r="T37" s="38"/>
      <c r="U37" s="38"/>
      <c r="V37" s="38"/>
      <c r="W37" s="38"/>
      <c r="X37" s="38"/>
      <c r="Y37" s="38"/>
      <c r="Z37" s="38"/>
    </row>
    <row r="38">
      <c r="A38" s="34">
        <v>35.0</v>
      </c>
      <c r="B38" s="34" t="s">
        <v>230</v>
      </c>
      <c r="C38" s="34" t="s">
        <v>9</v>
      </c>
      <c r="D38" s="34" t="s">
        <v>130</v>
      </c>
      <c r="E38" s="59" t="str">
        <f>HYPERLINK("https://www-town-mizumaki-lg-jp.translate.goog/iju/050/20201217143315.html?_x_tr_sl=ja&amp;_x_tr_tl=en&amp;_x_tr_hl=en-GB","Link To Mizumaki Akiya Bank")</f>
        <v>Link To Mizumaki Akiya Bank</v>
      </c>
      <c r="F38" s="36"/>
      <c r="G38" s="36"/>
      <c r="H38" s="36"/>
      <c r="I38" s="36"/>
      <c r="J38" s="34">
        <v>0.0</v>
      </c>
      <c r="K38" s="34">
        <v>0.0</v>
      </c>
      <c r="L38" s="36"/>
      <c r="M38" s="36"/>
      <c r="N38" s="36"/>
      <c r="O38" s="37"/>
      <c r="P38" s="38"/>
      <c r="Q38" s="38"/>
      <c r="R38" s="38"/>
      <c r="S38" s="38"/>
      <c r="T38" s="38"/>
      <c r="U38" s="38"/>
      <c r="V38" s="38"/>
      <c r="W38" s="38"/>
      <c r="X38" s="38"/>
      <c r="Y38" s="38"/>
      <c r="Z38" s="38"/>
    </row>
    <row r="39">
      <c r="A39" s="22">
        <v>36.0</v>
      </c>
      <c r="B39" s="22" t="s">
        <v>231</v>
      </c>
      <c r="C39" s="22" t="s">
        <v>9</v>
      </c>
      <c r="D39" s="22" t="s">
        <v>203</v>
      </c>
      <c r="E39" s="22"/>
      <c r="F39" s="23"/>
      <c r="G39" s="23"/>
      <c r="H39" s="23"/>
      <c r="I39" s="23"/>
      <c r="J39" s="22">
        <v>0.0</v>
      </c>
      <c r="K39" s="22">
        <v>0.0</v>
      </c>
      <c r="L39" s="23"/>
      <c r="M39" s="23"/>
      <c r="N39" s="23"/>
      <c r="O39" s="24"/>
      <c r="P39" s="25"/>
      <c r="Q39" s="25"/>
      <c r="R39" s="25"/>
      <c r="S39" s="25"/>
      <c r="T39" s="25"/>
      <c r="U39" s="25"/>
      <c r="V39" s="25"/>
      <c r="W39" s="25"/>
      <c r="X39" s="25"/>
      <c r="Y39" s="25"/>
      <c r="Z39" s="25"/>
    </row>
    <row r="40">
      <c r="A40" s="34">
        <v>37.0</v>
      </c>
      <c r="B40" s="34" t="s">
        <v>232</v>
      </c>
      <c r="C40" s="34" t="s">
        <v>9</v>
      </c>
      <c r="D40" s="34" t="s">
        <v>130</v>
      </c>
      <c r="E40" s="51" t="str">
        <f>HYPERLINK("https://sumitsuke-net.translate.goog/bank?_x_tr_sl=ja&amp;_x_tr_tl=en&amp;_x_tr_hl=en-GB","Link To Nakagawa Akiya Bank")</f>
        <v>Link To Nakagawa Akiya Bank</v>
      </c>
      <c r="F40" s="36"/>
      <c r="G40" s="34"/>
      <c r="H40" s="36"/>
      <c r="I40" s="36"/>
      <c r="J40" s="34">
        <v>56.0</v>
      </c>
      <c r="K40" s="34">
        <v>52.0</v>
      </c>
      <c r="L40" s="36"/>
      <c r="M40" s="36"/>
      <c r="N40" s="36"/>
      <c r="O40" s="37"/>
      <c r="P40" s="38"/>
      <c r="Q40" s="38"/>
      <c r="R40" s="38"/>
      <c r="S40" s="38"/>
      <c r="T40" s="38"/>
      <c r="U40" s="38"/>
      <c r="V40" s="38"/>
      <c r="W40" s="38"/>
      <c r="X40" s="38"/>
      <c r="Y40" s="38"/>
      <c r="Z40" s="38"/>
    </row>
    <row r="41">
      <c r="A41" s="22">
        <v>38.0</v>
      </c>
      <c r="B41" s="22" t="s">
        <v>233</v>
      </c>
      <c r="C41" s="22" t="s">
        <v>9</v>
      </c>
      <c r="D41" s="22" t="s">
        <v>15</v>
      </c>
      <c r="E41" s="23"/>
      <c r="F41" s="23"/>
      <c r="G41" s="23"/>
      <c r="H41" s="23"/>
      <c r="I41" s="23"/>
      <c r="J41" s="22">
        <v>0.0</v>
      </c>
      <c r="K41" s="22">
        <v>0.0</v>
      </c>
      <c r="L41" s="23"/>
      <c r="M41" s="23"/>
      <c r="N41" s="23"/>
      <c r="O41" s="24"/>
      <c r="P41" s="25"/>
      <c r="Q41" s="25"/>
      <c r="R41" s="25"/>
      <c r="S41" s="25"/>
      <c r="T41" s="25"/>
      <c r="U41" s="25"/>
      <c r="V41" s="25"/>
      <c r="W41" s="25"/>
      <c r="X41" s="25"/>
      <c r="Y41" s="25"/>
      <c r="Z41" s="25"/>
    </row>
    <row r="42">
      <c r="A42" s="34">
        <v>39.0</v>
      </c>
      <c r="B42" s="34" t="s">
        <v>234</v>
      </c>
      <c r="C42" s="34" t="s">
        <v>9</v>
      </c>
      <c r="D42" s="34" t="s">
        <v>130</v>
      </c>
      <c r="E42" s="51" t="str">
        <f>HYPERLINK("https://www-city-nogata-fukuoka-jp.translate.goog/kurashi/_1203/_4590.html?_x_tr_sl=ja&amp;_x_tr_tl=en&amp;_x_tr_hl=en-GB","Link To Nogota Akiya Bank")</f>
        <v>Link To Nogota Akiya Bank</v>
      </c>
      <c r="F42" s="36"/>
      <c r="G42" s="36"/>
      <c r="H42" s="36"/>
      <c r="I42" s="36"/>
      <c r="J42" s="34">
        <v>0.0</v>
      </c>
      <c r="K42" s="34">
        <v>0.0</v>
      </c>
      <c r="L42" s="36"/>
      <c r="M42" s="36"/>
      <c r="N42" s="36"/>
      <c r="O42" s="37"/>
      <c r="P42" s="38"/>
      <c r="Q42" s="38"/>
      <c r="R42" s="38"/>
      <c r="S42" s="38"/>
      <c r="T42" s="38"/>
      <c r="U42" s="38"/>
      <c r="V42" s="38"/>
      <c r="W42" s="38"/>
      <c r="X42" s="38"/>
      <c r="Y42" s="38"/>
      <c r="Z42" s="38"/>
    </row>
    <row r="43">
      <c r="A43" s="22">
        <v>40.0</v>
      </c>
      <c r="B43" s="22" t="s">
        <v>235</v>
      </c>
      <c r="C43" s="22" t="s">
        <v>9</v>
      </c>
      <c r="D43" s="22" t="s">
        <v>236</v>
      </c>
      <c r="E43" s="50" t="str">
        <f>HYPERLINK("https://www-city-ogori-fukuoka-jp.translate.goog/akiya/218/222/224?_x_tr_sl=ja&amp;_x_tr_tl=en&amp;_x_tr_hl=en-GB","Link To Ogori Akiya Bank")</f>
        <v>Link To Ogori Akiya Bank</v>
      </c>
      <c r="F43" s="23"/>
      <c r="G43" s="23"/>
      <c r="H43" s="23"/>
      <c r="I43" s="23"/>
      <c r="J43" s="22">
        <v>0.0</v>
      </c>
      <c r="K43" s="22">
        <v>0.0</v>
      </c>
      <c r="L43" s="23"/>
      <c r="M43" s="23"/>
      <c r="N43" s="23"/>
      <c r="O43" s="24"/>
      <c r="P43" s="25"/>
      <c r="Q43" s="25"/>
      <c r="R43" s="25"/>
      <c r="S43" s="25"/>
      <c r="T43" s="25"/>
      <c r="U43" s="25"/>
      <c r="V43" s="25"/>
      <c r="W43" s="25"/>
      <c r="X43" s="25"/>
      <c r="Y43" s="25"/>
      <c r="Z43" s="25"/>
    </row>
    <row r="44">
      <c r="A44" s="34">
        <v>41.0</v>
      </c>
      <c r="B44" s="34" t="s">
        <v>237</v>
      </c>
      <c r="C44" s="34" t="s">
        <v>9</v>
      </c>
      <c r="D44" s="34" t="s">
        <v>130</v>
      </c>
      <c r="E44" s="51" t="str">
        <f>HYPERLINK("https://www-town-okagaki-lg-jp.translate.goog/s030/010/050/20181121132333.html?_x_tr_sl=ja&amp;_x_tr_tl=en&amp;_x_tr_hl=en-GB","Link To Okagaki Akiya Bank")</f>
        <v>Link To Okagaki Akiya Bank</v>
      </c>
      <c r="F44" s="36"/>
      <c r="G44" s="36"/>
      <c r="H44" s="36"/>
      <c r="I44" s="36"/>
      <c r="J44" s="34">
        <v>0.0</v>
      </c>
      <c r="K44" s="34">
        <v>0.0</v>
      </c>
      <c r="L44" s="36"/>
      <c r="M44" s="36"/>
      <c r="N44" s="36"/>
      <c r="O44" s="37"/>
      <c r="P44" s="38"/>
      <c r="Q44" s="38"/>
      <c r="R44" s="38"/>
      <c r="S44" s="38"/>
      <c r="T44" s="38"/>
      <c r="U44" s="38"/>
      <c r="V44" s="38"/>
      <c r="W44" s="38"/>
      <c r="X44" s="38"/>
      <c r="Y44" s="38"/>
      <c r="Z44" s="38"/>
    </row>
    <row r="45">
      <c r="A45" s="22">
        <v>42.0</v>
      </c>
      <c r="B45" s="22" t="s">
        <v>238</v>
      </c>
      <c r="C45" s="22" t="s">
        <v>9</v>
      </c>
      <c r="D45" s="22" t="s">
        <v>15</v>
      </c>
      <c r="E45" s="23"/>
      <c r="F45" s="23"/>
      <c r="G45" s="23"/>
      <c r="H45" s="23"/>
      <c r="I45" s="23"/>
      <c r="J45" s="22">
        <v>0.0</v>
      </c>
      <c r="K45" s="22">
        <v>0.0</v>
      </c>
      <c r="L45" s="23"/>
      <c r="M45" s="23"/>
      <c r="N45" s="23"/>
      <c r="O45" s="24"/>
      <c r="P45" s="25"/>
      <c r="Q45" s="25"/>
      <c r="R45" s="25"/>
      <c r="S45" s="25"/>
      <c r="T45" s="25"/>
      <c r="U45" s="25"/>
      <c r="V45" s="25"/>
      <c r="W45" s="25"/>
      <c r="X45" s="25"/>
      <c r="Y45" s="25"/>
      <c r="Z45" s="25"/>
    </row>
    <row r="46">
      <c r="A46" s="34">
        <v>43.0</v>
      </c>
      <c r="B46" s="34" t="s">
        <v>239</v>
      </c>
      <c r="C46" s="34" t="s">
        <v>20</v>
      </c>
      <c r="D46" s="36"/>
      <c r="E46" s="36"/>
      <c r="F46" s="36"/>
      <c r="G46" s="36"/>
      <c r="H46" s="36"/>
      <c r="I46" s="36"/>
      <c r="J46" s="34">
        <v>0.0</v>
      </c>
      <c r="K46" s="34">
        <v>0.0</v>
      </c>
      <c r="L46" s="36"/>
      <c r="M46" s="36"/>
      <c r="N46" s="36"/>
      <c r="O46" s="37"/>
      <c r="P46" s="38"/>
      <c r="Q46" s="38"/>
      <c r="R46" s="38"/>
      <c r="S46" s="38"/>
      <c r="T46" s="38"/>
      <c r="U46" s="38"/>
      <c r="V46" s="38"/>
      <c r="W46" s="38"/>
      <c r="X46" s="38"/>
      <c r="Y46" s="38"/>
      <c r="Z46" s="38"/>
    </row>
    <row r="47">
      <c r="A47" s="34">
        <v>44.0</v>
      </c>
      <c r="B47" s="34" t="s">
        <v>240</v>
      </c>
      <c r="C47" s="34" t="s">
        <v>20</v>
      </c>
      <c r="D47" s="36"/>
      <c r="E47" s="60"/>
      <c r="F47" s="36"/>
      <c r="G47" s="36"/>
      <c r="H47" s="36"/>
      <c r="I47" s="36"/>
      <c r="J47" s="34">
        <v>0.0</v>
      </c>
      <c r="K47" s="34">
        <v>0.0</v>
      </c>
      <c r="L47" s="36"/>
      <c r="M47" s="36"/>
      <c r="N47" s="36"/>
      <c r="O47" s="37"/>
      <c r="P47" s="38"/>
      <c r="Q47" s="38"/>
      <c r="R47" s="38"/>
      <c r="S47" s="38"/>
      <c r="T47" s="38"/>
      <c r="U47" s="38"/>
      <c r="V47" s="38"/>
      <c r="W47" s="38"/>
      <c r="X47" s="38"/>
      <c r="Y47" s="38"/>
      <c r="Z47" s="38"/>
    </row>
    <row r="48">
      <c r="A48" s="34">
        <v>45.0</v>
      </c>
      <c r="B48" s="34" t="s">
        <v>241</v>
      </c>
      <c r="C48" s="34" t="s">
        <v>20</v>
      </c>
      <c r="D48" s="36"/>
      <c r="E48" s="60"/>
      <c r="F48" s="34"/>
      <c r="G48" s="36"/>
      <c r="H48" s="34"/>
      <c r="I48" s="36"/>
      <c r="J48" s="34">
        <v>0.0</v>
      </c>
      <c r="K48" s="34">
        <v>0.0</v>
      </c>
      <c r="L48" s="36"/>
      <c r="M48" s="36"/>
      <c r="N48" s="36"/>
      <c r="O48" s="37"/>
      <c r="P48" s="38"/>
      <c r="Q48" s="38"/>
      <c r="R48" s="38"/>
      <c r="S48" s="38"/>
      <c r="T48" s="38"/>
      <c r="U48" s="38"/>
      <c r="V48" s="38"/>
      <c r="W48" s="38"/>
      <c r="X48" s="38"/>
      <c r="Y48" s="38"/>
      <c r="Z48" s="38"/>
    </row>
    <row r="49">
      <c r="A49" s="34">
        <v>46.0</v>
      </c>
      <c r="B49" s="34" t="s">
        <v>242</v>
      </c>
      <c r="C49" s="34" t="s">
        <v>9</v>
      </c>
      <c r="D49" s="34" t="s">
        <v>130</v>
      </c>
      <c r="E49" s="35" t="str">
        <f>HYPERLINK("https://www-town-soeda-fukuoka-jp.translate.goog/docs/2013031100012/?_x_tr_sl=ja&amp;_x_tr_tl=en&amp;_x_tr_hl=en-GB", "Link to Soeda Akiya Bank")
</f>
        <v>Link to Soeda Akiya Bank</v>
      </c>
      <c r="F49" s="36"/>
      <c r="G49" s="34"/>
      <c r="H49" s="36"/>
      <c r="I49" s="36"/>
      <c r="J49" s="34">
        <v>1.0</v>
      </c>
      <c r="K49" s="34">
        <v>0.0</v>
      </c>
      <c r="L49" s="36"/>
      <c r="M49" s="36"/>
      <c r="N49" s="36"/>
      <c r="O49" s="37"/>
      <c r="P49" s="38"/>
      <c r="Q49" s="38"/>
      <c r="R49" s="38"/>
      <c r="S49" s="38"/>
      <c r="T49" s="38"/>
      <c r="U49" s="38"/>
      <c r="V49" s="38"/>
      <c r="W49" s="38"/>
      <c r="X49" s="38"/>
      <c r="Y49" s="38"/>
      <c r="Z49" s="38"/>
    </row>
    <row r="50">
      <c r="A50" s="34">
        <v>47.0</v>
      </c>
      <c r="B50" s="34" t="s">
        <v>243</v>
      </c>
      <c r="C50" s="34" t="s">
        <v>20</v>
      </c>
      <c r="D50" s="36"/>
      <c r="E50" s="36"/>
      <c r="F50" s="36"/>
      <c r="G50" s="36"/>
      <c r="H50" s="36"/>
      <c r="I50" s="36"/>
      <c r="J50" s="34">
        <v>0.0</v>
      </c>
      <c r="K50" s="34">
        <v>0.0</v>
      </c>
      <c r="L50" s="36"/>
      <c r="M50" s="36"/>
      <c r="N50" s="36"/>
      <c r="O50" s="37"/>
      <c r="P50" s="38"/>
      <c r="Q50" s="38"/>
      <c r="R50" s="38"/>
      <c r="S50" s="38"/>
      <c r="T50" s="38"/>
      <c r="U50" s="38"/>
      <c r="V50" s="38"/>
      <c r="W50" s="38"/>
      <c r="X50" s="38"/>
      <c r="Y50" s="38"/>
      <c r="Z50" s="38"/>
    </row>
    <row r="51">
      <c r="A51" s="34">
        <v>48.0</v>
      </c>
      <c r="B51" s="34" t="s">
        <v>244</v>
      </c>
      <c r="C51" s="34" t="s">
        <v>9</v>
      </c>
      <c r="D51" s="34" t="s">
        <v>130</v>
      </c>
      <c r="E51" s="35" t="str">
        <f>HYPERLINK("https://www-town-tachiarai-fukuoka-jp.translate.goog/akiya/search_price/?_x_tr_sl=ja&amp;_x_tr_tl=en&amp;_x_tr_hl=en-GB","List To Tachiarai Akiya Bank")</f>
        <v>List To Tachiarai Akiya Bank</v>
      </c>
      <c r="F51" s="36"/>
      <c r="G51" s="34"/>
      <c r="H51" s="36"/>
      <c r="I51" s="36"/>
      <c r="J51" s="34">
        <v>4.0</v>
      </c>
      <c r="K51" s="34">
        <v>12.0</v>
      </c>
      <c r="L51" s="36"/>
      <c r="M51" s="36"/>
      <c r="N51" s="36"/>
      <c r="O51" s="37"/>
      <c r="P51" s="38"/>
      <c r="Q51" s="38"/>
      <c r="R51" s="38"/>
      <c r="S51" s="38"/>
      <c r="T51" s="38"/>
      <c r="U51" s="38"/>
      <c r="V51" s="38"/>
      <c r="W51" s="38"/>
      <c r="X51" s="38"/>
      <c r="Y51" s="38"/>
      <c r="Z51" s="38"/>
    </row>
    <row r="52">
      <c r="A52" s="22">
        <v>49.0</v>
      </c>
      <c r="B52" s="22" t="s">
        <v>245</v>
      </c>
      <c r="C52" s="22" t="s">
        <v>9</v>
      </c>
      <c r="D52" s="22" t="s">
        <v>203</v>
      </c>
      <c r="E52" s="43"/>
      <c r="F52" s="23"/>
      <c r="G52" s="23"/>
      <c r="H52" s="23"/>
      <c r="I52" s="23"/>
      <c r="J52" s="22">
        <v>0.0</v>
      </c>
      <c r="K52" s="22">
        <v>0.0</v>
      </c>
      <c r="L52" s="23"/>
      <c r="M52" s="23"/>
      <c r="N52" s="23"/>
      <c r="O52" s="24"/>
      <c r="P52" s="25"/>
      <c r="Q52" s="25"/>
      <c r="R52" s="25"/>
      <c r="S52" s="25"/>
      <c r="T52" s="25"/>
      <c r="U52" s="25"/>
      <c r="V52" s="25"/>
      <c r="W52" s="25"/>
      <c r="X52" s="25"/>
      <c r="Y52" s="25"/>
      <c r="Z52" s="25"/>
    </row>
    <row r="53">
      <c r="A53" s="22">
        <v>50.0</v>
      </c>
      <c r="B53" s="22" t="s">
        <v>246</v>
      </c>
      <c r="C53" s="22" t="s">
        <v>9</v>
      </c>
      <c r="D53" s="61" t="s">
        <v>247</v>
      </c>
      <c r="E53" s="27" t="str">
        <f>HYPERLINK("https://www-city-ukiha-fukuoka-jp.translate.goog/kiji0035615/index.html?_x_tr_sl=ja&amp;_x_tr_tl=en&amp;_x_tr_hl=en-GB","List To Ukiha Akiya Bank")</f>
        <v>List To Ukiha Akiya Bank</v>
      </c>
      <c r="F53" s="23"/>
      <c r="G53" s="23"/>
      <c r="H53" s="23"/>
      <c r="I53" s="23"/>
      <c r="J53" s="22">
        <v>0.0</v>
      </c>
      <c r="K53" s="22">
        <v>0.0</v>
      </c>
      <c r="L53" s="23"/>
      <c r="M53" s="23"/>
      <c r="N53" s="23"/>
      <c r="O53" s="24"/>
      <c r="P53" s="25"/>
      <c r="Q53" s="25"/>
      <c r="R53" s="25"/>
      <c r="S53" s="25"/>
      <c r="T53" s="25"/>
      <c r="U53" s="25"/>
      <c r="V53" s="25"/>
      <c r="W53" s="25"/>
      <c r="X53" s="25"/>
      <c r="Y53" s="25"/>
      <c r="Z53" s="25"/>
    </row>
    <row r="54">
      <c r="A54" s="22">
        <v>51.0</v>
      </c>
      <c r="B54" s="22" t="s">
        <v>248</v>
      </c>
      <c r="C54" s="22" t="s">
        <v>9</v>
      </c>
      <c r="D54" s="61" t="s">
        <v>203</v>
      </c>
      <c r="E54" s="27" t="str">
        <f>HYPERLINK("https://akiyabank-f--takken-com.translate.goog/towns/umi?_x_tr_sl=ja&amp;_x_tr_tl=en&amp;_x_tr_hl=en-GB","List To Umi Akiya Bank")</f>
        <v>List To Umi Akiya Bank</v>
      </c>
      <c r="F54" s="23"/>
      <c r="G54" s="23"/>
      <c r="H54" s="23"/>
      <c r="I54" s="23"/>
      <c r="J54" s="22">
        <v>0.0</v>
      </c>
      <c r="K54" s="22">
        <v>0.0</v>
      </c>
      <c r="L54" s="23"/>
      <c r="M54" s="23"/>
      <c r="N54" s="23"/>
      <c r="O54" s="24"/>
      <c r="P54" s="25"/>
      <c r="Q54" s="25"/>
      <c r="R54" s="25"/>
      <c r="S54" s="25"/>
      <c r="T54" s="25"/>
      <c r="U54" s="25"/>
      <c r="V54" s="25"/>
      <c r="W54" s="25"/>
      <c r="X54" s="25"/>
      <c r="Y54" s="25"/>
      <c r="Z54" s="25"/>
    </row>
    <row r="55">
      <c r="A55" s="34">
        <v>52.0</v>
      </c>
      <c r="B55" s="34" t="s">
        <v>249</v>
      </c>
      <c r="C55" s="34" t="s">
        <v>9</v>
      </c>
      <c r="D55" s="34" t="s">
        <v>130</v>
      </c>
      <c r="E55" s="35" t="str">
        <f>HYPERLINK("https://www-city-yame-fukuoka-jp.translate.goog/miryoku/live/vacant/1454651745897.html?_x_tr_sl=ja&amp;_x_tr_tl=en&amp;_x_tr_hl=en-GB","List To Yame Akiya Bank")</f>
        <v>List To Yame Akiya Bank</v>
      </c>
      <c r="F55" s="36"/>
      <c r="G55" s="34"/>
      <c r="H55" s="36"/>
      <c r="I55" s="36"/>
      <c r="J55" s="34">
        <v>27.0</v>
      </c>
      <c r="K55" s="34">
        <v>15.0</v>
      </c>
      <c r="L55" s="36"/>
      <c r="M55" s="36"/>
      <c r="N55" s="36"/>
      <c r="O55" s="37"/>
      <c r="P55" s="38"/>
      <c r="Q55" s="38"/>
      <c r="R55" s="38"/>
      <c r="S55" s="38"/>
      <c r="T55" s="38"/>
      <c r="U55" s="38"/>
      <c r="V55" s="38"/>
      <c r="W55" s="38"/>
      <c r="X55" s="38"/>
      <c r="Y55" s="38"/>
      <c r="Z55" s="38"/>
    </row>
    <row r="56">
      <c r="A56" s="22">
        <v>53.0</v>
      </c>
      <c r="B56" s="22" t="s">
        <v>250</v>
      </c>
      <c r="C56" s="22" t="s">
        <v>9</v>
      </c>
      <c r="D56" s="22" t="s">
        <v>15</v>
      </c>
      <c r="E56" s="43"/>
      <c r="F56" s="23"/>
      <c r="G56" s="23"/>
      <c r="H56" s="23"/>
      <c r="I56" s="23"/>
      <c r="J56" s="22">
        <v>0.0</v>
      </c>
      <c r="K56" s="22">
        <v>0.0</v>
      </c>
      <c r="L56" s="23"/>
      <c r="M56" s="23"/>
      <c r="N56" s="23"/>
      <c r="O56" s="24"/>
      <c r="P56" s="25"/>
      <c r="Q56" s="25"/>
      <c r="R56" s="25"/>
      <c r="S56" s="25"/>
      <c r="T56" s="25"/>
      <c r="U56" s="25"/>
      <c r="V56" s="25"/>
      <c r="W56" s="25"/>
      <c r="X56" s="25"/>
      <c r="Y56" s="25"/>
      <c r="Z56" s="25"/>
    </row>
    <row r="57">
      <c r="A57" s="34">
        <v>54.0</v>
      </c>
      <c r="B57" s="34" t="s">
        <v>251</v>
      </c>
      <c r="C57" s="34" t="s">
        <v>9</v>
      </c>
      <c r="D57" s="34" t="s">
        <v>130</v>
      </c>
      <c r="E57" s="35" t="str">
        <f>HYPERLINK("https://www-town-yoshitomi-lg-jp.translate.goog/iju/sumu/akiya_search/list/?_x_tr_sl=ja&amp;_x_tr_tl=en&amp;_x_tr_hl=en-GB","Link To Yoshitomi Akiya Bank")</f>
        <v>Link To Yoshitomi Akiya Bank</v>
      </c>
      <c r="F57" s="36"/>
      <c r="G57" s="34"/>
      <c r="H57" s="36"/>
      <c r="I57" s="36"/>
      <c r="J57" s="34">
        <v>4.0</v>
      </c>
      <c r="K57" s="34">
        <v>2.0</v>
      </c>
      <c r="L57" s="36"/>
      <c r="M57" s="36"/>
      <c r="N57" s="36"/>
      <c r="O57" s="37"/>
      <c r="P57" s="38"/>
      <c r="Q57" s="38"/>
      <c r="R57" s="38"/>
      <c r="S57" s="38"/>
      <c r="T57" s="38"/>
      <c r="U57" s="38"/>
      <c r="V57" s="38"/>
      <c r="W57" s="38"/>
      <c r="X57" s="38"/>
      <c r="Y57" s="38"/>
      <c r="Z57" s="38"/>
    </row>
    <row r="58">
      <c r="A58" s="34">
        <v>55.0</v>
      </c>
      <c r="B58" s="34" t="s">
        <v>252</v>
      </c>
      <c r="C58" s="34" t="s">
        <v>9</v>
      </c>
      <c r="D58" s="36"/>
      <c r="E58" s="60"/>
      <c r="F58" s="36"/>
      <c r="G58" s="36"/>
      <c r="H58" s="36"/>
      <c r="I58" s="36"/>
      <c r="J58" s="34">
        <v>0.0</v>
      </c>
      <c r="K58" s="34">
        <v>0.0</v>
      </c>
      <c r="L58" s="36"/>
      <c r="M58" s="36"/>
      <c r="N58" s="36"/>
      <c r="O58" s="37"/>
      <c r="P58" s="38"/>
      <c r="Q58" s="38"/>
      <c r="R58" s="38"/>
      <c r="S58" s="38"/>
      <c r="T58" s="38"/>
      <c r="U58" s="38"/>
      <c r="V58" s="38"/>
      <c r="W58" s="38"/>
      <c r="X58" s="38"/>
      <c r="Y58" s="38"/>
      <c r="Z58" s="38"/>
    </row>
    <row r="59">
      <c r="A59" s="34">
        <v>56.0</v>
      </c>
      <c r="B59" s="34" t="s">
        <v>253</v>
      </c>
      <c r="C59" s="34" t="s">
        <v>9</v>
      </c>
      <c r="D59" s="34" t="s">
        <v>130</v>
      </c>
      <c r="E59" s="35" t="str">
        <f>HYPERLINK("https://www.f-takken.com/freins/buy/detached/area/items?currentTabIndex=0&amp;listtype=detached&amp;lang=ja&amp;location=area&amp;locate%5B%5D=40212&amp;order1=pl&amp;order2=&amp;limit=20&amp;data_21=0&amp;data_22=0&amp;data_23=0&amp;data_24=0&amp;data_30=0&amp;data_31=0&amp;data_486=&amp;data_486_code=&amp;data_487=&amp;"&amp;"data_487_code=","Link To Okawa Akiya Bank")</f>
        <v>Link To Okawa Akiya Bank</v>
      </c>
      <c r="F59" s="36"/>
      <c r="G59" s="36"/>
      <c r="H59" s="36"/>
      <c r="I59" s="36"/>
      <c r="J59" s="34">
        <v>0.0</v>
      </c>
      <c r="K59" s="34">
        <v>0.0</v>
      </c>
      <c r="L59" s="36"/>
      <c r="M59" s="36"/>
      <c r="N59" s="36"/>
      <c r="O59" s="37"/>
      <c r="P59" s="38"/>
      <c r="Q59" s="38"/>
      <c r="R59" s="38"/>
      <c r="S59" s="38"/>
      <c r="T59" s="38"/>
      <c r="U59" s="38"/>
      <c r="V59" s="38"/>
      <c r="W59" s="38"/>
      <c r="X59" s="38"/>
      <c r="Y59" s="38"/>
      <c r="Z59" s="38"/>
    </row>
    <row r="60">
      <c r="A60" s="34">
        <v>57.0</v>
      </c>
      <c r="B60" s="34" t="s">
        <v>254</v>
      </c>
      <c r="C60" s="34" t="s">
        <v>9</v>
      </c>
      <c r="D60" s="34" t="s">
        <v>130</v>
      </c>
      <c r="E60" s="35" t="str">
        <f>HYPERLINK("https://www-town-ooki-lg-jp.translate.goog/cgi-bin/recruit.php/2/list?_x_tr_sch=http&amp;_x_tr_sl=ja&amp;_x_tr_tl=en&amp;_x_tr_hl=en-GB","Link To Oki Akiya Bank")</f>
        <v>Link To Oki Akiya Bank</v>
      </c>
      <c r="F60" s="36"/>
      <c r="G60" s="34"/>
      <c r="H60" s="36"/>
      <c r="I60" s="36"/>
      <c r="J60" s="34">
        <v>15.0</v>
      </c>
      <c r="K60" s="34">
        <v>16.0</v>
      </c>
      <c r="L60" s="36"/>
      <c r="M60" s="36"/>
      <c r="N60" s="36"/>
      <c r="O60" s="37"/>
      <c r="P60" s="38"/>
      <c r="Q60" s="38"/>
      <c r="R60" s="38"/>
      <c r="S60" s="38"/>
      <c r="T60" s="38"/>
      <c r="U60" s="38"/>
      <c r="V60" s="38"/>
      <c r="W60" s="38"/>
      <c r="X60" s="38"/>
      <c r="Y60" s="38"/>
      <c r="Z60" s="38"/>
    </row>
    <row r="61">
      <c r="A61" s="34">
        <v>58.0</v>
      </c>
      <c r="B61" s="34" t="s">
        <v>255</v>
      </c>
      <c r="C61" s="34" t="s">
        <v>9</v>
      </c>
      <c r="D61" s="34" t="s">
        <v>130</v>
      </c>
      <c r="E61" s="35" t="str">
        <f>HYPERLINK("https://www-f--takken-com.translate.goog/freins/search/buy/detached/area/40202?_x_tr_sl=ja&amp;_x_tr_tl=en&amp;_x_tr_hl=en-GB","Link To Omuta Akiya Bank")</f>
        <v>Link To Omuta Akiya Bank</v>
      </c>
      <c r="F61" s="36"/>
      <c r="G61" s="36"/>
      <c r="H61" s="36"/>
      <c r="I61" s="36"/>
      <c r="J61" s="34">
        <v>0.0</v>
      </c>
      <c r="K61" s="34">
        <v>0.0</v>
      </c>
      <c r="L61" s="36"/>
      <c r="M61" s="36"/>
      <c r="N61" s="36"/>
      <c r="O61" s="37"/>
      <c r="P61" s="38"/>
      <c r="Q61" s="38"/>
      <c r="R61" s="38"/>
      <c r="S61" s="38"/>
      <c r="T61" s="38"/>
      <c r="U61" s="38"/>
      <c r="V61" s="38"/>
      <c r="W61" s="38"/>
      <c r="X61" s="38"/>
      <c r="Y61" s="38"/>
      <c r="Z61" s="38"/>
    </row>
    <row r="62">
      <c r="A62" s="34">
        <v>59.0</v>
      </c>
      <c r="B62" s="34" t="s">
        <v>256</v>
      </c>
      <c r="C62" s="34" t="s">
        <v>9</v>
      </c>
      <c r="D62" s="34" t="s">
        <v>130</v>
      </c>
      <c r="E62" s="35" t="str">
        <f>HYPERLINK("https://www-city-onojo-fukuoka-jp.translate.goog/akiya/010/index.html?_x_tr_sl=ja&amp;_x_tr_tl=en&amp;_x_tr_hl=en-GB","Link To Onojo Akiya Bank")</f>
        <v>Link To Onojo Akiya Bank</v>
      </c>
      <c r="F62" s="34"/>
      <c r="G62" s="36"/>
      <c r="H62" s="34"/>
      <c r="I62" s="36"/>
      <c r="J62" s="34">
        <v>0.0</v>
      </c>
      <c r="K62" s="34">
        <v>0.0</v>
      </c>
      <c r="L62" s="36"/>
      <c r="M62" s="36"/>
      <c r="N62" s="36"/>
      <c r="O62" s="37"/>
      <c r="P62" s="38"/>
      <c r="Q62" s="38"/>
      <c r="R62" s="38"/>
      <c r="S62" s="38"/>
      <c r="T62" s="38"/>
      <c r="U62" s="38"/>
      <c r="V62" s="38"/>
      <c r="W62" s="38"/>
      <c r="X62" s="38"/>
      <c r="Y62" s="38"/>
      <c r="Z62" s="38"/>
    </row>
    <row r="63">
      <c r="A63" s="34">
        <v>60.0</v>
      </c>
      <c r="B63" s="34" t="s">
        <v>257</v>
      </c>
      <c r="C63" s="34" t="s">
        <v>9</v>
      </c>
      <c r="D63" s="34" t="s">
        <v>130</v>
      </c>
      <c r="E63" s="35" t="str">
        <f>HYPERLINK("https://www-f--takken-com.translate.goog/freins/search/buy/detached/area/40608?_x_tr_sl=ja&amp;_x_tr_tl=en&amp;_x_tr_hl=en-GB","Link To Oto Akiya Bank")</f>
        <v>Link To Oto Akiya Bank</v>
      </c>
      <c r="F63" s="34"/>
      <c r="G63" s="36"/>
      <c r="H63" s="34"/>
      <c r="I63" s="36"/>
      <c r="J63" s="34">
        <v>0.0</v>
      </c>
      <c r="K63" s="34">
        <v>0.0</v>
      </c>
      <c r="L63" s="36"/>
      <c r="M63" s="36"/>
      <c r="N63" s="36"/>
      <c r="O63" s="37"/>
      <c r="P63" s="38"/>
      <c r="Q63" s="38"/>
      <c r="R63" s="38"/>
      <c r="S63" s="38"/>
      <c r="T63" s="38"/>
      <c r="U63" s="38"/>
      <c r="V63" s="38"/>
      <c r="W63" s="38"/>
      <c r="X63" s="38"/>
      <c r="Y63" s="38"/>
      <c r="Z63" s="38"/>
    </row>
    <row r="64">
      <c r="J64" s="1">
        <v>405.0</v>
      </c>
      <c r="K64" s="1">
        <v>396.0</v>
      </c>
    </row>
  </sheetData>
  <hyperlinks>
    <hyperlink r:id="rId1" ref="E16"/>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13"/>
    <col customWidth="1" min="3" max="3" width="15.25"/>
    <col customWidth="1" min="4" max="4" width="26.88"/>
    <col customWidth="1" min="5" max="5" width="39.88"/>
    <col customWidth="1" min="6" max="6" width="18.25"/>
  </cols>
  <sheetData>
    <row r="2">
      <c r="A2" s="2" t="s">
        <v>258</v>
      </c>
      <c r="B2" s="2" t="s">
        <v>259</v>
      </c>
    </row>
    <row r="3">
      <c r="F3" s="3" t="s">
        <v>2</v>
      </c>
      <c r="G3" s="62"/>
    </row>
    <row r="4">
      <c r="A4" s="4" t="s">
        <v>3</v>
      </c>
      <c r="B4" s="4" t="s">
        <v>4</v>
      </c>
      <c r="C4" s="4" t="s">
        <v>5</v>
      </c>
      <c r="D4" s="4" t="s">
        <v>6</v>
      </c>
      <c r="E4" s="4" t="s">
        <v>7</v>
      </c>
      <c r="F4" s="6">
        <v>45323.0</v>
      </c>
      <c r="G4" s="6">
        <v>45352.0</v>
      </c>
      <c r="H4" s="6">
        <v>45383.0</v>
      </c>
      <c r="I4" s="6">
        <v>45413.0</v>
      </c>
      <c r="J4" s="6">
        <v>45444.0</v>
      </c>
      <c r="K4" s="6">
        <v>45474.0</v>
      </c>
      <c r="L4" s="9">
        <v>45505.0</v>
      </c>
      <c r="M4" s="42">
        <v>45620.0</v>
      </c>
      <c r="N4" s="10"/>
    </row>
    <row r="5">
      <c r="A5" s="34">
        <v>1.0</v>
      </c>
      <c r="B5" s="34" t="s">
        <v>260</v>
      </c>
      <c r="C5" s="34" t="s">
        <v>9</v>
      </c>
      <c r="D5" s="34" t="s">
        <v>261</v>
      </c>
      <c r="E5" s="38"/>
      <c r="F5" s="36"/>
      <c r="G5" s="36"/>
      <c r="H5" s="36"/>
      <c r="I5" s="36"/>
      <c r="J5" s="34">
        <v>0.0</v>
      </c>
      <c r="K5" s="34">
        <v>0.0</v>
      </c>
      <c r="L5" s="34">
        <v>0.0</v>
      </c>
      <c r="M5" s="34">
        <v>0.0</v>
      </c>
      <c r="N5" s="37"/>
      <c r="O5" s="38"/>
      <c r="P5" s="38"/>
      <c r="Q5" s="38"/>
      <c r="R5" s="38"/>
      <c r="S5" s="38"/>
      <c r="T5" s="38"/>
      <c r="U5" s="38"/>
      <c r="V5" s="38"/>
      <c r="W5" s="38"/>
      <c r="X5" s="38"/>
      <c r="Y5" s="38"/>
    </row>
    <row r="6">
      <c r="A6" s="34">
        <v>2.0</v>
      </c>
      <c r="B6" s="34" t="s">
        <v>262</v>
      </c>
      <c r="C6" s="34" t="s">
        <v>20</v>
      </c>
      <c r="D6" s="36"/>
      <c r="E6" s="38"/>
      <c r="F6" s="36"/>
      <c r="G6" s="36"/>
      <c r="H6" s="36"/>
      <c r="I6" s="36"/>
      <c r="J6" s="34">
        <v>0.0</v>
      </c>
      <c r="K6" s="34">
        <v>0.0</v>
      </c>
      <c r="L6" s="34">
        <v>0.0</v>
      </c>
      <c r="M6" s="34">
        <v>0.0</v>
      </c>
      <c r="N6" s="37"/>
      <c r="O6" s="38"/>
      <c r="P6" s="38"/>
      <c r="Q6" s="38"/>
      <c r="R6" s="38"/>
      <c r="S6" s="38"/>
      <c r="T6" s="38"/>
      <c r="U6" s="38"/>
      <c r="V6" s="38"/>
      <c r="W6" s="38"/>
      <c r="X6" s="38"/>
      <c r="Y6" s="38"/>
    </row>
    <row r="7">
      <c r="A7" s="29">
        <v>3.0</v>
      </c>
      <c r="B7" s="29" t="s">
        <v>263</v>
      </c>
      <c r="C7" s="29" t="s">
        <v>9</v>
      </c>
      <c r="D7" s="29" t="s">
        <v>139</v>
      </c>
      <c r="E7" s="49" t="str">
        <f>HYPERLINK("https://www.cjkk.or.jp/consultation/reuse/reuselist/", "Link to Chiba City Chōsei")</f>
        <v>Link to Chiba City Chōsei</v>
      </c>
      <c r="F7" s="31"/>
      <c r="G7" s="31"/>
      <c r="H7" s="31"/>
      <c r="I7" s="31"/>
      <c r="J7" s="29">
        <v>0.0</v>
      </c>
      <c r="K7" s="29">
        <v>0.0</v>
      </c>
      <c r="L7" s="29">
        <v>0.0</v>
      </c>
      <c r="M7" s="29">
        <v>0.0</v>
      </c>
      <c r="N7" s="32"/>
      <c r="O7" s="33"/>
      <c r="P7" s="33"/>
      <c r="Q7" s="33"/>
      <c r="R7" s="33"/>
      <c r="S7" s="33"/>
      <c r="T7" s="33"/>
      <c r="U7" s="33"/>
      <c r="V7" s="33"/>
      <c r="W7" s="33"/>
      <c r="X7" s="33"/>
      <c r="Y7" s="33"/>
    </row>
    <row r="8">
      <c r="A8" s="34">
        <v>4.0</v>
      </c>
      <c r="B8" s="34" t="s">
        <v>264</v>
      </c>
      <c r="C8" s="34" t="s">
        <v>9</v>
      </c>
      <c r="D8" s="34" t="s">
        <v>124</v>
      </c>
      <c r="E8" s="36"/>
      <c r="F8" s="36"/>
      <c r="G8" s="36"/>
      <c r="H8" s="36"/>
      <c r="I8" s="36"/>
      <c r="J8" s="34">
        <v>0.0</v>
      </c>
      <c r="K8" s="34">
        <v>0.0</v>
      </c>
      <c r="L8" s="34">
        <v>0.0</v>
      </c>
      <c r="M8" s="34">
        <v>0.0</v>
      </c>
      <c r="N8" s="37"/>
      <c r="O8" s="38"/>
      <c r="P8" s="38"/>
      <c r="Q8" s="38"/>
      <c r="R8" s="38"/>
      <c r="S8" s="38"/>
      <c r="T8" s="38"/>
      <c r="U8" s="38"/>
      <c r="V8" s="38"/>
      <c r="W8" s="38"/>
      <c r="X8" s="38"/>
      <c r="Y8" s="38"/>
    </row>
    <row r="9">
      <c r="A9" s="34">
        <v>5.0</v>
      </c>
      <c r="B9" s="34" t="s">
        <v>265</v>
      </c>
      <c r="C9" s="34" t="s">
        <v>9</v>
      </c>
      <c r="D9" s="34" t="s">
        <v>266</v>
      </c>
      <c r="E9" s="46" t="str">
        <f>HYPERLINK("https://www.vill.chosei.chiba.jp/0000001054.html", "Link to Chiba City Chōsei")</f>
        <v>Link to Chiba City Chōsei</v>
      </c>
      <c r="F9" s="36"/>
      <c r="G9" s="36"/>
      <c r="H9" s="36"/>
      <c r="I9" s="36"/>
      <c r="J9" s="34">
        <v>0.0</v>
      </c>
      <c r="K9" s="34">
        <v>0.0</v>
      </c>
      <c r="L9" s="34">
        <v>0.0</v>
      </c>
      <c r="M9" s="34">
        <v>0.0</v>
      </c>
      <c r="N9" s="37"/>
      <c r="O9" s="38"/>
      <c r="P9" s="38"/>
      <c r="Q9" s="38"/>
      <c r="R9" s="38"/>
      <c r="S9" s="38"/>
      <c r="T9" s="38"/>
      <c r="U9" s="38"/>
      <c r="V9" s="38"/>
      <c r="W9" s="38"/>
      <c r="X9" s="38"/>
      <c r="Y9" s="38"/>
    </row>
    <row r="10">
      <c r="A10" s="34">
        <v>6.0</v>
      </c>
      <c r="B10" s="34" t="s">
        <v>267</v>
      </c>
      <c r="C10" s="34" t="s">
        <v>9</v>
      </c>
      <c r="D10" s="34" t="s">
        <v>203</v>
      </c>
      <c r="E10" s="35" t="str">
        <f>HYPERLINK("https://www.city.choshi.chiba.jp/shisei/page020296.html", "Link to Chiba City Chōshi")</f>
        <v>Link to Chiba City Chōshi</v>
      </c>
      <c r="F10" s="36"/>
      <c r="G10" s="36"/>
      <c r="H10" s="36"/>
      <c r="I10" s="36"/>
      <c r="J10" s="34">
        <v>0.0</v>
      </c>
      <c r="K10" s="34">
        <v>0.0</v>
      </c>
      <c r="L10" s="34">
        <v>0.0</v>
      </c>
      <c r="M10" s="34">
        <v>0.0</v>
      </c>
      <c r="N10" s="37"/>
      <c r="O10" s="38"/>
      <c r="P10" s="38"/>
      <c r="Q10" s="38"/>
      <c r="R10" s="38"/>
      <c r="S10" s="38"/>
      <c r="T10" s="38"/>
      <c r="U10" s="38"/>
      <c r="V10" s="38"/>
      <c r="W10" s="38"/>
      <c r="X10" s="38"/>
      <c r="Y10" s="38"/>
    </row>
    <row r="11">
      <c r="A11" s="34">
        <v>7.0</v>
      </c>
      <c r="B11" s="34" t="s">
        <v>268</v>
      </c>
      <c r="C11" s="34" t="s">
        <v>20</v>
      </c>
      <c r="D11" s="34"/>
      <c r="E11" s="38"/>
      <c r="F11" s="36"/>
      <c r="G11" s="36"/>
      <c r="H11" s="36"/>
      <c r="I11" s="36"/>
      <c r="J11" s="34">
        <v>0.0</v>
      </c>
      <c r="K11" s="34">
        <v>0.0</v>
      </c>
      <c r="L11" s="34">
        <v>0.0</v>
      </c>
      <c r="M11" s="34">
        <v>0.0</v>
      </c>
      <c r="N11" s="37"/>
      <c r="O11" s="38"/>
      <c r="P11" s="38"/>
      <c r="Q11" s="38"/>
      <c r="R11" s="38"/>
      <c r="S11" s="38"/>
      <c r="T11" s="38"/>
      <c r="U11" s="38"/>
      <c r="V11" s="38"/>
      <c r="W11" s="38"/>
      <c r="X11" s="38"/>
      <c r="Y11" s="38"/>
    </row>
    <row r="12">
      <c r="A12" s="34">
        <v>8.0</v>
      </c>
      <c r="B12" s="34" t="s">
        <v>269</v>
      </c>
      <c r="C12" s="34" t="s">
        <v>9</v>
      </c>
      <c r="D12" s="34" t="s">
        <v>270</v>
      </c>
      <c r="E12" s="46" t="str">
        <f>HYPERLINK("https://www.city.futtsu.lg.jp/0000007202.html", "Link to Chiba City Futtsu")</f>
        <v>Link to Chiba City Futtsu</v>
      </c>
      <c r="F12" s="36"/>
      <c r="G12" s="36"/>
      <c r="H12" s="36"/>
      <c r="I12" s="36"/>
      <c r="J12" s="34">
        <v>9.0</v>
      </c>
      <c r="K12" s="34">
        <v>9.0</v>
      </c>
      <c r="L12" s="34">
        <v>7.0</v>
      </c>
      <c r="M12" s="34">
        <v>5.0</v>
      </c>
      <c r="N12" s="37"/>
      <c r="O12" s="38"/>
      <c r="P12" s="38"/>
      <c r="Q12" s="38"/>
      <c r="R12" s="38"/>
      <c r="S12" s="38"/>
      <c r="T12" s="38"/>
      <c r="U12" s="38"/>
      <c r="V12" s="38"/>
      <c r="W12" s="38"/>
      <c r="X12" s="38"/>
      <c r="Y12" s="38"/>
    </row>
    <row r="13">
      <c r="A13" s="29">
        <v>9.0</v>
      </c>
      <c r="B13" s="29" t="s">
        <v>271</v>
      </c>
      <c r="C13" s="29" t="s">
        <v>9</v>
      </c>
      <c r="D13" s="29" t="s">
        <v>272</v>
      </c>
      <c r="E13" s="63" t="str">
        <f>HYPERLINK("https://www.city.ichihara.chiba.jp/article?articleId=64afd54a362fc70cd82c52bf", "Link to Chiba City Ichihara")</f>
        <v>Link to Chiba City Ichihara</v>
      </c>
      <c r="F13" s="31"/>
      <c r="G13" s="31"/>
      <c r="H13" s="31"/>
      <c r="I13" s="31"/>
      <c r="J13" s="29">
        <v>8.0</v>
      </c>
      <c r="K13" s="29">
        <v>8.0</v>
      </c>
      <c r="L13" s="29">
        <v>6.0</v>
      </c>
      <c r="M13" s="29">
        <v>6.0</v>
      </c>
      <c r="N13" s="32"/>
      <c r="O13" s="33"/>
      <c r="P13" s="33"/>
      <c r="Q13" s="33"/>
      <c r="R13" s="33"/>
      <c r="S13" s="33"/>
      <c r="T13" s="33"/>
      <c r="U13" s="33"/>
      <c r="V13" s="33"/>
      <c r="W13" s="33"/>
      <c r="X13" s="33"/>
      <c r="Y13" s="33"/>
    </row>
    <row r="14">
      <c r="A14" s="34">
        <v>10.0</v>
      </c>
      <c r="B14" s="34" t="s">
        <v>273</v>
      </c>
      <c r="C14" s="34" t="s">
        <v>20</v>
      </c>
      <c r="D14" s="34"/>
      <c r="E14" s="36"/>
      <c r="F14" s="36"/>
      <c r="G14" s="36"/>
      <c r="H14" s="36"/>
      <c r="I14" s="36"/>
      <c r="J14" s="34">
        <v>0.0</v>
      </c>
      <c r="K14" s="34">
        <v>0.0</v>
      </c>
      <c r="L14" s="34">
        <v>0.0</v>
      </c>
      <c r="M14" s="34">
        <v>0.0</v>
      </c>
      <c r="N14" s="37"/>
      <c r="O14" s="38"/>
      <c r="P14" s="38"/>
      <c r="Q14" s="38"/>
      <c r="R14" s="38"/>
      <c r="S14" s="38"/>
      <c r="T14" s="38"/>
      <c r="U14" s="38"/>
      <c r="V14" s="38"/>
      <c r="W14" s="38"/>
      <c r="X14" s="38"/>
      <c r="Y14" s="38"/>
    </row>
    <row r="15">
      <c r="A15" s="34">
        <v>11.0</v>
      </c>
      <c r="B15" s="34" t="s">
        <v>274</v>
      </c>
      <c r="C15" s="34" t="s">
        <v>20</v>
      </c>
      <c r="D15" s="34"/>
      <c r="E15" s="36"/>
      <c r="F15" s="36"/>
      <c r="G15" s="36"/>
      <c r="H15" s="36"/>
      <c r="I15" s="36"/>
      <c r="J15" s="34">
        <v>0.0</v>
      </c>
      <c r="K15" s="34">
        <v>0.0</v>
      </c>
      <c r="L15" s="34">
        <v>0.0</v>
      </c>
      <c r="M15" s="34">
        <v>0.0</v>
      </c>
      <c r="N15" s="37"/>
      <c r="O15" s="38"/>
      <c r="P15" s="38"/>
      <c r="Q15" s="38"/>
      <c r="R15" s="38"/>
      <c r="S15" s="38"/>
      <c r="T15" s="38"/>
      <c r="U15" s="38"/>
      <c r="V15" s="38"/>
      <c r="W15" s="38"/>
      <c r="X15" s="38"/>
      <c r="Y15" s="38"/>
    </row>
    <row r="16">
      <c r="A16" s="34">
        <v>12.0</v>
      </c>
      <c r="B16" s="34" t="s">
        <v>275</v>
      </c>
      <c r="C16" s="34" t="s">
        <v>9</v>
      </c>
      <c r="D16" s="34" t="s">
        <v>276</v>
      </c>
      <c r="E16" s="51" t="str">
        <f>HYPERLINK("https://www.city.inzai.lg.jp/0000010639.html", "Link to Chiba City Inzai")</f>
        <v>Link to Chiba City Inzai</v>
      </c>
      <c r="F16" s="36"/>
      <c r="G16" s="36"/>
      <c r="H16" s="36"/>
      <c r="I16" s="36"/>
      <c r="J16" s="34">
        <v>0.0</v>
      </c>
      <c r="K16" s="34">
        <v>0.0</v>
      </c>
      <c r="L16" s="34">
        <v>0.0</v>
      </c>
      <c r="M16" s="34">
        <v>0.0</v>
      </c>
      <c r="N16" s="37"/>
      <c r="O16" s="38"/>
      <c r="P16" s="38"/>
      <c r="Q16" s="38"/>
      <c r="R16" s="38"/>
      <c r="S16" s="38"/>
      <c r="T16" s="38"/>
      <c r="U16" s="38"/>
      <c r="V16" s="38"/>
      <c r="W16" s="38"/>
      <c r="X16" s="38"/>
      <c r="Y16" s="38"/>
    </row>
    <row r="17">
      <c r="A17" s="34">
        <v>13.0</v>
      </c>
      <c r="B17" s="34" t="s">
        <v>277</v>
      </c>
      <c r="C17" s="34" t="s">
        <v>20</v>
      </c>
      <c r="D17" s="34"/>
      <c r="E17" s="36"/>
      <c r="F17" s="36"/>
      <c r="G17" s="36"/>
      <c r="H17" s="36"/>
      <c r="I17" s="36"/>
      <c r="J17" s="34">
        <v>0.0</v>
      </c>
      <c r="K17" s="34">
        <v>0.0</v>
      </c>
      <c r="L17" s="34">
        <v>0.0</v>
      </c>
      <c r="M17" s="34">
        <v>0.0</v>
      </c>
      <c r="N17" s="37"/>
      <c r="O17" s="38"/>
      <c r="P17" s="38"/>
      <c r="Q17" s="38"/>
      <c r="R17" s="38"/>
      <c r="S17" s="38"/>
      <c r="T17" s="38"/>
      <c r="U17" s="38"/>
      <c r="V17" s="38"/>
      <c r="W17" s="38"/>
      <c r="X17" s="38"/>
      <c r="Y17" s="38"/>
    </row>
    <row r="18">
      <c r="A18" s="34">
        <v>14.0</v>
      </c>
      <c r="B18" s="34" t="s">
        <v>278</v>
      </c>
      <c r="C18" s="34" t="s">
        <v>20</v>
      </c>
      <c r="D18" s="34"/>
      <c r="E18" s="36"/>
      <c r="F18" s="36"/>
      <c r="G18" s="36"/>
      <c r="H18" s="36"/>
      <c r="I18" s="36"/>
      <c r="J18" s="34">
        <v>0.0</v>
      </c>
      <c r="K18" s="34">
        <v>0.0</v>
      </c>
      <c r="L18" s="34">
        <v>0.0</v>
      </c>
      <c r="M18" s="34">
        <v>0.0</v>
      </c>
      <c r="N18" s="37"/>
      <c r="O18" s="38"/>
      <c r="P18" s="38"/>
      <c r="Q18" s="38"/>
      <c r="R18" s="38"/>
      <c r="S18" s="38"/>
      <c r="T18" s="38"/>
      <c r="U18" s="38"/>
      <c r="V18" s="38"/>
      <c r="W18" s="38"/>
      <c r="X18" s="38"/>
      <c r="Y18" s="38"/>
    </row>
    <row r="19">
      <c r="A19" s="34">
        <v>15.0</v>
      </c>
      <c r="B19" s="34" t="s">
        <v>279</v>
      </c>
      <c r="C19" s="34" t="s">
        <v>20</v>
      </c>
      <c r="D19" s="34"/>
      <c r="E19" s="36"/>
      <c r="F19" s="36"/>
      <c r="G19" s="36"/>
      <c r="H19" s="36"/>
      <c r="I19" s="36"/>
      <c r="J19" s="34">
        <v>0.0</v>
      </c>
      <c r="K19" s="34">
        <v>0.0</v>
      </c>
      <c r="L19" s="34">
        <v>0.0</v>
      </c>
      <c r="M19" s="34">
        <v>0.0</v>
      </c>
      <c r="N19" s="37"/>
      <c r="O19" s="38"/>
      <c r="P19" s="38"/>
      <c r="Q19" s="38"/>
      <c r="R19" s="38"/>
      <c r="S19" s="38"/>
      <c r="T19" s="38"/>
      <c r="U19" s="38"/>
      <c r="V19" s="38"/>
      <c r="W19" s="38"/>
      <c r="X19" s="38"/>
      <c r="Y19" s="38"/>
    </row>
    <row r="20">
      <c r="A20" s="34">
        <v>16.0</v>
      </c>
      <c r="B20" s="34" t="s">
        <v>280</v>
      </c>
      <c r="C20" s="34" t="s">
        <v>20</v>
      </c>
      <c r="D20" s="34"/>
      <c r="E20" s="36"/>
      <c r="F20" s="36"/>
      <c r="G20" s="36"/>
      <c r="H20" s="36"/>
      <c r="I20" s="36"/>
      <c r="J20" s="34">
        <v>0.0</v>
      </c>
      <c r="K20" s="34">
        <v>0.0</v>
      </c>
      <c r="L20" s="34">
        <v>0.0</v>
      </c>
      <c r="M20" s="34">
        <v>0.0</v>
      </c>
      <c r="N20" s="37"/>
      <c r="O20" s="38"/>
      <c r="P20" s="38"/>
      <c r="Q20" s="38"/>
      <c r="R20" s="38"/>
      <c r="S20" s="38"/>
      <c r="T20" s="38"/>
      <c r="U20" s="38"/>
      <c r="V20" s="38"/>
      <c r="W20" s="38"/>
      <c r="X20" s="38"/>
      <c r="Y20" s="38"/>
    </row>
    <row r="21">
      <c r="A21" s="34">
        <v>17.0</v>
      </c>
      <c r="B21" s="34" t="s">
        <v>281</v>
      </c>
      <c r="C21" s="34" t="s">
        <v>9</v>
      </c>
      <c r="D21" s="34" t="s">
        <v>282</v>
      </c>
      <c r="E21" s="36"/>
      <c r="F21" s="36"/>
      <c r="G21" s="36"/>
      <c r="H21" s="36"/>
      <c r="I21" s="36"/>
      <c r="J21" s="34">
        <v>0.0</v>
      </c>
      <c r="K21" s="34">
        <v>0.0</v>
      </c>
      <c r="L21" s="34">
        <v>0.0</v>
      </c>
      <c r="M21" s="34">
        <v>0.0</v>
      </c>
      <c r="N21" s="37"/>
      <c r="O21" s="38"/>
      <c r="P21" s="38"/>
      <c r="Q21" s="38"/>
      <c r="R21" s="38"/>
      <c r="S21" s="38"/>
      <c r="T21" s="38"/>
      <c r="U21" s="38"/>
      <c r="V21" s="38"/>
      <c r="W21" s="38"/>
      <c r="X21" s="38"/>
      <c r="Y21" s="38"/>
    </row>
    <row r="22">
      <c r="A22" s="34">
        <v>18.0</v>
      </c>
      <c r="B22" s="34" t="s">
        <v>283</v>
      </c>
      <c r="C22" s="34" t="s">
        <v>9</v>
      </c>
      <c r="D22" s="34" t="s">
        <v>284</v>
      </c>
      <c r="E22" s="51" t="str">
        <f>HYPERLINK("http://www.akiya-navi.com/katsuura_akiya_bank/list.php?Kind=2", "Link to Chiba City Katsuura")</f>
        <v>Link to Chiba City Katsuura</v>
      </c>
      <c r="F22" s="36"/>
      <c r="G22" s="36"/>
      <c r="H22" s="36"/>
      <c r="I22" s="36"/>
      <c r="J22" s="34">
        <v>9.0</v>
      </c>
      <c r="K22" s="34">
        <v>9.0</v>
      </c>
      <c r="L22" s="34">
        <v>11.0</v>
      </c>
      <c r="M22" s="34">
        <v>18.0</v>
      </c>
      <c r="N22" s="37"/>
      <c r="O22" s="38"/>
      <c r="P22" s="38"/>
      <c r="Q22" s="38"/>
      <c r="R22" s="38"/>
      <c r="S22" s="38"/>
      <c r="T22" s="38"/>
      <c r="U22" s="38"/>
      <c r="V22" s="38"/>
      <c r="W22" s="38"/>
      <c r="X22" s="38"/>
      <c r="Y22" s="38"/>
    </row>
    <row r="23">
      <c r="A23" s="34">
        <v>19.0</v>
      </c>
      <c r="B23" s="34" t="s">
        <v>285</v>
      </c>
      <c r="C23" s="34" t="s">
        <v>9</v>
      </c>
      <c r="D23" s="34" t="s">
        <v>282</v>
      </c>
      <c r="E23" s="51" t="str">
        <f>HYPERLINK("https://kimitsu-akiya.jp/area/", "Link to Chiba City Kimitsu")</f>
        <v>Link to Chiba City Kimitsu</v>
      </c>
      <c r="F23" s="36"/>
      <c r="G23" s="36"/>
      <c r="H23" s="36"/>
      <c r="I23" s="36"/>
      <c r="J23" s="34">
        <v>0.0</v>
      </c>
      <c r="K23" s="34">
        <v>0.0</v>
      </c>
      <c r="L23" s="34">
        <v>0.0</v>
      </c>
      <c r="M23" s="34">
        <v>0.0</v>
      </c>
      <c r="N23" s="37"/>
      <c r="O23" s="38"/>
      <c r="P23" s="38"/>
      <c r="Q23" s="38"/>
      <c r="R23" s="38"/>
      <c r="S23" s="38"/>
      <c r="T23" s="38"/>
      <c r="U23" s="38"/>
      <c r="V23" s="38"/>
      <c r="W23" s="38"/>
      <c r="X23" s="38"/>
      <c r="Y23" s="38"/>
    </row>
    <row r="24">
      <c r="A24" s="34">
        <v>20.0</v>
      </c>
      <c r="B24" s="34" t="s">
        <v>286</v>
      </c>
      <c r="C24" s="34" t="s">
        <v>9</v>
      </c>
      <c r="D24" s="34" t="s">
        <v>282</v>
      </c>
      <c r="E24" s="51" t="str">
        <f>HYPERLINK("https://www.city.kisarazu.lg.jp/kurashi/jutaku/akiya/1004539/index.html", "Link to Chiba City Kisarazu")</f>
        <v>Link to Chiba City Kisarazu</v>
      </c>
      <c r="F24" s="36"/>
      <c r="G24" s="36"/>
      <c r="H24" s="36"/>
      <c r="I24" s="36"/>
      <c r="J24" s="34">
        <v>4.0</v>
      </c>
      <c r="K24" s="34">
        <v>4.0</v>
      </c>
      <c r="L24" s="34">
        <v>3.0</v>
      </c>
      <c r="M24" s="34">
        <v>11.0</v>
      </c>
      <c r="N24" s="37"/>
      <c r="O24" s="38"/>
      <c r="P24" s="38"/>
      <c r="Q24" s="38"/>
      <c r="R24" s="38"/>
      <c r="S24" s="38"/>
      <c r="T24" s="38"/>
      <c r="U24" s="38"/>
      <c r="V24" s="38"/>
      <c r="W24" s="38"/>
      <c r="X24" s="38"/>
      <c r="Y24" s="38"/>
    </row>
    <row r="25">
      <c r="A25" s="29">
        <v>21.0</v>
      </c>
      <c r="B25" s="29" t="s">
        <v>287</v>
      </c>
      <c r="C25" s="29" t="s">
        <v>9</v>
      </c>
      <c r="D25" s="29" t="s">
        <v>139</v>
      </c>
      <c r="E25" s="30" t="str">
        <f>HYPERLINK("https://www.town.kujukuri.chiba.jp/0000006945.html", "Link to Chiba City Kujūkuri")</f>
        <v>Link to Chiba City Kujūkuri</v>
      </c>
      <c r="F25" s="31"/>
      <c r="G25" s="29"/>
      <c r="H25" s="31"/>
      <c r="I25" s="31"/>
      <c r="J25" s="29">
        <v>6.0</v>
      </c>
      <c r="K25" s="29">
        <v>6.0</v>
      </c>
      <c r="L25" s="29">
        <v>4.0</v>
      </c>
      <c r="M25" s="29">
        <v>1.0</v>
      </c>
      <c r="N25" s="32"/>
      <c r="O25" s="33"/>
      <c r="P25" s="33"/>
      <c r="Q25" s="33"/>
      <c r="R25" s="33"/>
      <c r="S25" s="33"/>
      <c r="T25" s="33"/>
      <c r="U25" s="33"/>
      <c r="V25" s="33"/>
      <c r="W25" s="33"/>
      <c r="X25" s="33"/>
      <c r="Y25" s="33"/>
    </row>
    <row r="26">
      <c r="A26" s="34">
        <v>22.0</v>
      </c>
      <c r="B26" s="34" t="s">
        <v>288</v>
      </c>
      <c r="C26" s="34" t="s">
        <v>9</v>
      </c>
      <c r="D26" s="34" t="s">
        <v>284</v>
      </c>
      <c r="E26" s="51" t="str">
        <f>HYPERLINK("http://www.akiya-navi.com/kyonan_akiya_bank/", "Link to Chiba City Kyonan")</f>
        <v>Link to Chiba City Kyonan</v>
      </c>
      <c r="F26" s="36"/>
      <c r="G26" s="36"/>
      <c r="H26" s="36"/>
      <c r="I26" s="36"/>
      <c r="J26" s="34">
        <v>7.0</v>
      </c>
      <c r="K26" s="34">
        <v>7.0</v>
      </c>
      <c r="L26" s="34">
        <v>8.0</v>
      </c>
      <c r="M26" s="34">
        <v>5.0</v>
      </c>
      <c r="N26" s="37"/>
      <c r="O26" s="38"/>
      <c r="P26" s="38"/>
      <c r="Q26" s="38"/>
      <c r="R26" s="38"/>
      <c r="S26" s="38"/>
      <c r="T26" s="38"/>
      <c r="U26" s="38"/>
      <c r="V26" s="38"/>
      <c r="W26" s="38"/>
      <c r="X26" s="38"/>
      <c r="Y26" s="38"/>
    </row>
    <row r="27">
      <c r="A27" s="34">
        <v>23.0</v>
      </c>
      <c r="B27" s="34" t="s">
        <v>289</v>
      </c>
      <c r="C27" s="34" t="s">
        <v>9</v>
      </c>
      <c r="D27" s="34" t="s">
        <v>290</v>
      </c>
      <c r="E27" s="51" t="str">
        <f>HYPERLINK("http://www.akiya-navi.com/kozaki_akiya_bank/list.php?Kind=2", "Link to Chiba City Kōzaki")</f>
        <v>Link to Chiba City Kōzaki</v>
      </c>
      <c r="F27" s="36"/>
      <c r="G27" s="36"/>
      <c r="H27" s="36"/>
      <c r="I27" s="36"/>
      <c r="J27" s="34">
        <v>0.0</v>
      </c>
      <c r="K27" s="34">
        <v>0.0</v>
      </c>
      <c r="L27" s="34">
        <v>0.0</v>
      </c>
      <c r="M27" s="34">
        <v>0.0</v>
      </c>
      <c r="N27" s="37"/>
      <c r="O27" s="38"/>
      <c r="P27" s="38"/>
      <c r="Q27" s="38"/>
      <c r="R27" s="38"/>
      <c r="S27" s="38"/>
      <c r="T27" s="38"/>
      <c r="U27" s="38"/>
      <c r="V27" s="38"/>
      <c r="W27" s="38"/>
      <c r="X27" s="38"/>
      <c r="Y27" s="38"/>
    </row>
    <row r="28">
      <c r="A28" s="34">
        <v>24.0</v>
      </c>
      <c r="B28" s="34" t="s">
        <v>291</v>
      </c>
      <c r="C28" s="34" t="s">
        <v>20</v>
      </c>
      <c r="D28" s="36"/>
      <c r="E28" s="36"/>
      <c r="F28" s="36"/>
      <c r="G28" s="36"/>
      <c r="H28" s="36"/>
      <c r="I28" s="36"/>
      <c r="J28" s="34">
        <v>0.0</v>
      </c>
      <c r="K28" s="34">
        <v>0.0</v>
      </c>
      <c r="L28" s="34">
        <v>0.0</v>
      </c>
      <c r="M28" s="34">
        <v>0.0</v>
      </c>
      <c r="N28" s="37"/>
      <c r="O28" s="38"/>
      <c r="P28" s="38"/>
      <c r="Q28" s="38"/>
      <c r="R28" s="38"/>
      <c r="S28" s="38"/>
      <c r="T28" s="38"/>
      <c r="U28" s="38"/>
      <c r="V28" s="38"/>
      <c r="W28" s="38"/>
      <c r="X28" s="38"/>
      <c r="Y28" s="38"/>
    </row>
    <row r="29">
      <c r="A29" s="34">
        <v>25.0</v>
      </c>
      <c r="B29" s="34" t="s">
        <v>292</v>
      </c>
      <c r="C29" s="34" t="s">
        <v>9</v>
      </c>
      <c r="D29" s="34" t="s">
        <v>293</v>
      </c>
      <c r="E29" s="51" t="str">
        <f>HYPERLINK("http://www.akiya-navi.com/minamiboso_akiya_bank/list.php?Kind=3", "Link to Chiba City Minamibōsō")</f>
        <v>Link to Chiba City Minamibōsō</v>
      </c>
      <c r="F29" s="36"/>
      <c r="G29" s="36"/>
      <c r="H29" s="36"/>
      <c r="I29" s="36"/>
      <c r="J29" s="34">
        <v>0.0</v>
      </c>
      <c r="K29" s="34">
        <v>0.0</v>
      </c>
      <c r="L29" s="34">
        <v>0.0</v>
      </c>
      <c r="M29" s="34">
        <v>0.0</v>
      </c>
      <c r="N29" s="37"/>
      <c r="O29" s="38"/>
      <c r="P29" s="38"/>
      <c r="Q29" s="38"/>
      <c r="R29" s="38"/>
      <c r="S29" s="38"/>
      <c r="T29" s="38"/>
      <c r="U29" s="38"/>
      <c r="V29" s="38"/>
      <c r="W29" s="38"/>
      <c r="X29" s="38"/>
      <c r="Y29" s="38"/>
    </row>
    <row r="30">
      <c r="A30" s="34">
        <v>26.0</v>
      </c>
      <c r="B30" s="34" t="s">
        <v>294</v>
      </c>
      <c r="C30" s="34" t="s">
        <v>9</v>
      </c>
      <c r="D30" s="34" t="s">
        <v>144</v>
      </c>
      <c r="E30" s="51" t="str">
        <f>HYPERLINK("https://www.city.mobara.chiba.jp/0000003949.html", "Link to Chiba City Mobara")</f>
        <v>Link to Chiba City Mobara</v>
      </c>
      <c r="F30" s="36"/>
      <c r="G30" s="36"/>
      <c r="H30" s="36"/>
      <c r="I30" s="36"/>
      <c r="J30" s="34">
        <v>0.0</v>
      </c>
      <c r="K30" s="34">
        <v>0.0</v>
      </c>
      <c r="L30" s="34">
        <v>0.0</v>
      </c>
      <c r="M30" s="34">
        <v>0.0</v>
      </c>
      <c r="N30" s="37"/>
      <c r="O30" s="38"/>
      <c r="P30" s="38"/>
      <c r="Q30" s="38"/>
      <c r="R30" s="38"/>
      <c r="S30" s="38"/>
      <c r="T30" s="38"/>
      <c r="U30" s="38"/>
      <c r="V30" s="38"/>
      <c r="W30" s="38"/>
      <c r="X30" s="38"/>
      <c r="Y30" s="38"/>
    </row>
    <row r="31">
      <c r="A31" s="34">
        <v>27.0</v>
      </c>
      <c r="B31" s="34" t="s">
        <v>295</v>
      </c>
      <c r="C31" s="34" t="s">
        <v>9</v>
      </c>
      <c r="D31" s="34" t="s">
        <v>144</v>
      </c>
      <c r="E31" s="35" t="str">
        <f>HYPERLINK("https://www.town.mutsuzawa.chiba.jp/kurashi/osirase/7249.html", "Link to Chiba City Mutsuzawa")</f>
        <v>Link to Chiba City Mutsuzawa</v>
      </c>
      <c r="F31" s="36"/>
      <c r="G31" s="36"/>
      <c r="H31" s="36"/>
      <c r="I31" s="36"/>
      <c r="J31" s="34">
        <v>0.0</v>
      </c>
      <c r="K31" s="34">
        <v>0.0</v>
      </c>
      <c r="L31" s="34">
        <v>0.0</v>
      </c>
      <c r="M31" s="34">
        <v>0.0</v>
      </c>
      <c r="N31" s="36"/>
      <c r="O31" s="38"/>
      <c r="P31" s="38"/>
      <c r="Q31" s="38"/>
      <c r="R31" s="38"/>
      <c r="S31" s="38"/>
      <c r="T31" s="38"/>
      <c r="U31" s="38"/>
      <c r="V31" s="38"/>
      <c r="W31" s="38"/>
      <c r="X31" s="38"/>
      <c r="Y31" s="38"/>
    </row>
    <row r="32">
      <c r="A32" s="34">
        <v>28.0</v>
      </c>
      <c r="B32" s="64" t="s">
        <v>296</v>
      </c>
      <c r="C32" s="34" t="s">
        <v>9</v>
      </c>
      <c r="D32" s="34" t="s">
        <v>297</v>
      </c>
      <c r="E32" s="35" t="str">
        <f>HYPERLINK("https://www.town.nagara.chiba.jp/soshiki/2/1628.html", "Link to Chiba City Nagara")</f>
        <v>Link to Chiba City Nagara</v>
      </c>
      <c r="F32" s="36"/>
      <c r="G32" s="36"/>
      <c r="H32" s="36"/>
      <c r="I32" s="36"/>
      <c r="J32" s="34">
        <v>6.0</v>
      </c>
      <c r="K32" s="34">
        <v>6.0</v>
      </c>
      <c r="L32" s="34">
        <v>5.0</v>
      </c>
      <c r="M32" s="34">
        <v>4.0</v>
      </c>
      <c r="N32" s="36"/>
      <c r="O32" s="38"/>
      <c r="P32" s="38"/>
      <c r="Q32" s="38"/>
      <c r="R32" s="38"/>
      <c r="S32" s="38"/>
      <c r="T32" s="38"/>
      <c r="U32" s="38"/>
      <c r="V32" s="38"/>
      <c r="W32" s="38"/>
      <c r="X32" s="38"/>
      <c r="Y32" s="38"/>
    </row>
    <row r="33">
      <c r="A33" s="34">
        <v>29.0</v>
      </c>
      <c r="B33" s="64" t="s">
        <v>298</v>
      </c>
      <c r="C33" s="34" t="s">
        <v>20</v>
      </c>
      <c r="D33" s="34"/>
      <c r="E33" s="60"/>
      <c r="F33" s="36"/>
      <c r="G33" s="36"/>
      <c r="H33" s="36"/>
      <c r="I33" s="36"/>
      <c r="J33" s="34">
        <v>0.0</v>
      </c>
      <c r="K33" s="34">
        <v>0.0</v>
      </c>
      <c r="L33" s="34">
        <v>0.0</v>
      </c>
      <c r="M33" s="34">
        <v>0.0</v>
      </c>
      <c r="N33" s="36"/>
      <c r="O33" s="38"/>
      <c r="P33" s="38"/>
      <c r="Q33" s="38"/>
      <c r="R33" s="38"/>
      <c r="S33" s="38"/>
      <c r="T33" s="38"/>
      <c r="U33" s="38"/>
      <c r="V33" s="38"/>
      <c r="W33" s="38"/>
      <c r="X33" s="38"/>
      <c r="Y33" s="38"/>
    </row>
    <row r="34">
      <c r="A34" s="34">
        <v>30.0</v>
      </c>
      <c r="B34" s="64" t="s">
        <v>299</v>
      </c>
      <c r="C34" s="34" t="s">
        <v>20</v>
      </c>
      <c r="D34" s="34"/>
      <c r="E34" s="60"/>
      <c r="F34" s="36"/>
      <c r="G34" s="36"/>
      <c r="H34" s="36"/>
      <c r="I34" s="36"/>
      <c r="J34" s="34">
        <v>0.0</v>
      </c>
      <c r="K34" s="34">
        <v>0.0</v>
      </c>
      <c r="L34" s="34">
        <v>0.0</v>
      </c>
      <c r="M34" s="34">
        <v>0.0</v>
      </c>
      <c r="N34" s="36"/>
      <c r="O34" s="38"/>
      <c r="P34" s="38"/>
      <c r="Q34" s="38"/>
      <c r="R34" s="38"/>
      <c r="S34" s="38"/>
      <c r="T34" s="38"/>
      <c r="U34" s="38"/>
      <c r="V34" s="38"/>
      <c r="W34" s="38"/>
      <c r="X34" s="38"/>
      <c r="Y34" s="38"/>
    </row>
    <row r="35">
      <c r="A35" s="34">
        <v>31.0</v>
      </c>
      <c r="B35" s="64" t="s">
        <v>300</v>
      </c>
      <c r="C35" s="34" t="s">
        <v>9</v>
      </c>
      <c r="D35" s="34" t="s">
        <v>297</v>
      </c>
      <c r="E35" s="35" t="str">
        <f>HYPERLINK("http://www.akiya-navi.com/unari_akiya_bank/list.php?Kind=3", "Link to Chiba City Narita")</f>
        <v>Link to Chiba City Narita</v>
      </c>
      <c r="F35" s="36"/>
      <c r="G35" s="36"/>
      <c r="H35" s="36"/>
      <c r="I35" s="36"/>
      <c r="J35" s="34">
        <v>0.0</v>
      </c>
      <c r="K35" s="34">
        <v>0.0</v>
      </c>
      <c r="L35" s="34">
        <v>0.0</v>
      </c>
      <c r="M35" s="34">
        <v>0.0</v>
      </c>
      <c r="N35" s="36"/>
      <c r="O35" s="38"/>
      <c r="P35" s="38"/>
      <c r="Q35" s="38"/>
      <c r="R35" s="38"/>
      <c r="S35" s="38"/>
      <c r="T35" s="38"/>
      <c r="U35" s="38"/>
      <c r="V35" s="38"/>
      <c r="W35" s="38"/>
      <c r="X35" s="38"/>
      <c r="Y35" s="38"/>
    </row>
    <row r="36">
      <c r="A36" s="29">
        <v>32.0</v>
      </c>
      <c r="B36" s="65" t="s">
        <v>301</v>
      </c>
      <c r="C36" s="29" t="s">
        <v>9</v>
      </c>
      <c r="D36" s="29" t="s">
        <v>139</v>
      </c>
      <c r="E36" s="30" t="str">
        <f>HYPERLINK("https://www.city.noda.chiba.jp/kurashi/anzen/bouhan/1008726.html", "Link to Chiba City Noda")</f>
        <v>Link to Chiba City Noda</v>
      </c>
      <c r="F36" s="31"/>
      <c r="G36" s="31"/>
      <c r="H36" s="31"/>
      <c r="I36" s="31"/>
      <c r="J36" s="29">
        <v>3.0</v>
      </c>
      <c r="K36" s="29">
        <v>3.0</v>
      </c>
      <c r="L36" s="29">
        <v>5.0</v>
      </c>
      <c r="M36" s="29">
        <v>5.0</v>
      </c>
      <c r="N36" s="31"/>
      <c r="O36" s="33"/>
      <c r="P36" s="33"/>
      <c r="Q36" s="33"/>
      <c r="R36" s="33"/>
      <c r="S36" s="33"/>
      <c r="T36" s="33"/>
      <c r="U36" s="33"/>
      <c r="V36" s="33"/>
      <c r="W36" s="33"/>
      <c r="X36" s="33"/>
      <c r="Y36" s="33"/>
    </row>
    <row r="37">
      <c r="A37" s="34">
        <v>33.0</v>
      </c>
      <c r="B37" s="64" t="s">
        <v>302</v>
      </c>
      <c r="C37" s="34" t="s">
        <v>20</v>
      </c>
      <c r="D37" s="34"/>
      <c r="E37" s="60"/>
      <c r="F37" s="36"/>
      <c r="G37" s="36"/>
      <c r="H37" s="36"/>
      <c r="I37" s="36"/>
      <c r="J37" s="34">
        <v>0.0</v>
      </c>
      <c r="K37" s="34">
        <v>0.0</v>
      </c>
      <c r="L37" s="34">
        <v>0.0</v>
      </c>
      <c r="M37" s="34">
        <v>0.0</v>
      </c>
      <c r="N37" s="36"/>
      <c r="O37" s="38"/>
      <c r="P37" s="38"/>
      <c r="Q37" s="38"/>
      <c r="R37" s="38"/>
      <c r="S37" s="38"/>
      <c r="T37" s="38"/>
      <c r="U37" s="38"/>
      <c r="V37" s="38"/>
      <c r="W37" s="38"/>
      <c r="X37" s="38"/>
      <c r="Y37" s="38"/>
    </row>
    <row r="38">
      <c r="A38" s="34">
        <v>34.0</v>
      </c>
      <c r="B38" s="64" t="s">
        <v>303</v>
      </c>
      <c r="C38" s="34" t="s">
        <v>9</v>
      </c>
      <c r="D38" s="34" t="s">
        <v>144</v>
      </c>
      <c r="E38" s="60"/>
      <c r="F38" s="36"/>
      <c r="G38" s="36"/>
      <c r="H38" s="36"/>
      <c r="I38" s="36"/>
      <c r="J38" s="34">
        <v>0.0</v>
      </c>
      <c r="K38" s="34">
        <v>0.0</v>
      </c>
      <c r="L38" s="34">
        <v>0.0</v>
      </c>
      <c r="M38" s="34">
        <v>0.0</v>
      </c>
      <c r="N38" s="36"/>
      <c r="O38" s="38"/>
      <c r="P38" s="38"/>
      <c r="Q38" s="38"/>
      <c r="R38" s="38"/>
      <c r="S38" s="38"/>
      <c r="T38" s="38"/>
      <c r="U38" s="38"/>
      <c r="V38" s="38"/>
      <c r="W38" s="38"/>
      <c r="X38" s="38"/>
      <c r="Y38" s="38"/>
    </row>
    <row r="39">
      <c r="A39" s="34">
        <v>35.0</v>
      </c>
      <c r="B39" s="64" t="s">
        <v>304</v>
      </c>
      <c r="C39" s="34" t="s">
        <v>20</v>
      </c>
      <c r="D39" s="34"/>
      <c r="E39" s="60"/>
      <c r="F39" s="36"/>
      <c r="G39" s="36"/>
      <c r="H39" s="36"/>
      <c r="I39" s="36"/>
      <c r="J39" s="34">
        <v>0.0</v>
      </c>
      <c r="K39" s="34">
        <v>0.0</v>
      </c>
      <c r="L39" s="34">
        <v>0.0</v>
      </c>
      <c r="M39" s="34">
        <v>0.0</v>
      </c>
      <c r="N39" s="36"/>
      <c r="O39" s="38"/>
      <c r="P39" s="38"/>
      <c r="Q39" s="38"/>
      <c r="R39" s="38"/>
      <c r="S39" s="38"/>
      <c r="T39" s="38"/>
      <c r="U39" s="38"/>
      <c r="V39" s="38"/>
      <c r="W39" s="38"/>
      <c r="X39" s="38"/>
      <c r="Y39" s="38"/>
    </row>
    <row r="40">
      <c r="A40" s="34">
        <v>36.0</v>
      </c>
      <c r="B40" s="64" t="s">
        <v>305</v>
      </c>
      <c r="C40" s="34" t="s">
        <v>9</v>
      </c>
      <c r="D40" s="34" t="s">
        <v>297</v>
      </c>
      <c r="E40" s="35" t="str">
        <f>HYPERLINK("https://www.town.sakae.chiba.jp/page/page003120.html", "Link to Chiba City Sakae")</f>
        <v>Link to Chiba City Sakae</v>
      </c>
      <c r="F40" s="36"/>
      <c r="G40" s="36"/>
      <c r="H40" s="36"/>
      <c r="I40" s="36"/>
      <c r="J40" s="34">
        <v>0.0</v>
      </c>
      <c r="K40" s="34">
        <v>0.0</v>
      </c>
      <c r="L40" s="34">
        <v>0.0</v>
      </c>
      <c r="M40" s="34">
        <v>0.0</v>
      </c>
      <c r="N40" s="36"/>
      <c r="O40" s="38"/>
      <c r="P40" s="38"/>
      <c r="Q40" s="38"/>
      <c r="R40" s="38"/>
      <c r="S40" s="38"/>
      <c r="T40" s="38"/>
      <c r="U40" s="38"/>
      <c r="V40" s="38"/>
      <c r="W40" s="38"/>
      <c r="X40" s="38"/>
      <c r="Y40" s="38"/>
    </row>
    <row r="41">
      <c r="A41" s="34">
        <v>37.0</v>
      </c>
      <c r="B41" s="64" t="s">
        <v>306</v>
      </c>
      <c r="C41" s="34" t="s">
        <v>9</v>
      </c>
      <c r="D41" s="34" t="s">
        <v>297</v>
      </c>
      <c r="E41" s="35" t="str">
        <f>HYPERLINK("http://www.akiya-navi.com/sakura_akiya_bank/list.php?Kind=3", "Link to Chiba City Sakura")</f>
        <v>Link to Chiba City Sakura</v>
      </c>
      <c r="F41" s="36"/>
      <c r="G41" s="36"/>
      <c r="H41" s="36"/>
      <c r="I41" s="36"/>
      <c r="J41" s="34">
        <v>15.0</v>
      </c>
      <c r="K41" s="34">
        <v>15.0</v>
      </c>
      <c r="L41" s="34">
        <v>12.0</v>
      </c>
      <c r="M41" s="34">
        <v>13.0</v>
      </c>
      <c r="N41" s="36"/>
      <c r="O41" s="38"/>
      <c r="P41" s="38"/>
      <c r="Q41" s="38"/>
      <c r="R41" s="38"/>
      <c r="S41" s="38"/>
      <c r="T41" s="38"/>
      <c r="U41" s="38"/>
      <c r="V41" s="38"/>
      <c r="W41" s="38"/>
      <c r="X41" s="38"/>
      <c r="Y41" s="38"/>
    </row>
    <row r="42">
      <c r="A42" s="29">
        <v>38.0</v>
      </c>
      <c r="B42" s="65" t="s">
        <v>307</v>
      </c>
      <c r="C42" s="29" t="s">
        <v>308</v>
      </c>
      <c r="D42" s="29" t="s">
        <v>309</v>
      </c>
      <c r="E42" s="30" t="str">
        <f>HYPERLINK("https://www.city.sammu.lg.jp/page/page002020.html", "Link to Chiba City Sanmu")</f>
        <v>Link to Chiba City Sanmu</v>
      </c>
      <c r="F42" s="31"/>
      <c r="G42" s="31"/>
      <c r="H42" s="31"/>
      <c r="I42" s="31"/>
      <c r="J42" s="29">
        <v>0.0</v>
      </c>
      <c r="K42" s="29">
        <v>0.0</v>
      </c>
      <c r="L42" s="29">
        <v>0.0</v>
      </c>
      <c r="M42" s="29">
        <v>0.0</v>
      </c>
      <c r="N42" s="31"/>
      <c r="O42" s="33"/>
      <c r="P42" s="33"/>
      <c r="Q42" s="33"/>
      <c r="R42" s="33"/>
      <c r="S42" s="33"/>
      <c r="T42" s="33"/>
      <c r="U42" s="33"/>
      <c r="V42" s="33"/>
      <c r="W42" s="33"/>
      <c r="X42" s="33"/>
      <c r="Y42" s="33"/>
    </row>
    <row r="43">
      <c r="A43" s="34">
        <v>39.0</v>
      </c>
      <c r="B43" s="64" t="s">
        <v>310</v>
      </c>
      <c r="C43" s="34" t="s">
        <v>20</v>
      </c>
      <c r="D43" s="34"/>
      <c r="E43" s="60"/>
      <c r="F43" s="36"/>
      <c r="G43" s="36"/>
      <c r="H43" s="36"/>
      <c r="I43" s="36"/>
      <c r="J43" s="34">
        <v>0.0</v>
      </c>
      <c r="K43" s="34">
        <v>0.0</v>
      </c>
      <c r="L43" s="34">
        <v>0.0</v>
      </c>
      <c r="M43" s="34">
        <v>0.0</v>
      </c>
      <c r="N43" s="36"/>
      <c r="O43" s="38"/>
      <c r="P43" s="38"/>
      <c r="Q43" s="38"/>
      <c r="R43" s="38"/>
      <c r="S43" s="38"/>
      <c r="T43" s="38"/>
      <c r="U43" s="38"/>
      <c r="V43" s="38"/>
      <c r="W43" s="38"/>
      <c r="X43" s="38"/>
      <c r="Y43" s="38"/>
    </row>
    <row r="44">
      <c r="A44" s="29">
        <v>41.0</v>
      </c>
      <c r="B44" s="65" t="s">
        <v>311</v>
      </c>
      <c r="C44" s="29" t="s">
        <v>9</v>
      </c>
      <c r="D44" s="29" t="s">
        <v>139</v>
      </c>
      <c r="E44" s="30" t="str">
        <f>HYPERLINK("https://www.town.shirako.lg.jp/0000002357.html", "Link to Chiba City Shirako")</f>
        <v>Link to Chiba City Shirako</v>
      </c>
      <c r="F44" s="31"/>
      <c r="G44" s="31"/>
      <c r="H44" s="31"/>
      <c r="I44" s="31"/>
      <c r="J44" s="29">
        <v>0.0</v>
      </c>
      <c r="K44" s="29">
        <v>0.0</v>
      </c>
      <c r="L44" s="29">
        <v>0.0</v>
      </c>
      <c r="M44" s="29">
        <v>0.0</v>
      </c>
      <c r="N44" s="31"/>
      <c r="O44" s="33"/>
      <c r="P44" s="33"/>
      <c r="Q44" s="33"/>
      <c r="R44" s="33"/>
      <c r="S44" s="33"/>
      <c r="T44" s="33"/>
      <c r="U44" s="33"/>
      <c r="V44" s="33"/>
      <c r="W44" s="33"/>
      <c r="X44" s="33"/>
      <c r="Y44" s="33"/>
    </row>
    <row r="45">
      <c r="A45" s="34">
        <v>42.0</v>
      </c>
      <c r="B45" s="64" t="s">
        <v>312</v>
      </c>
      <c r="C45" s="34" t="s">
        <v>20</v>
      </c>
      <c r="D45" s="34"/>
      <c r="E45" s="60"/>
      <c r="F45" s="36"/>
      <c r="G45" s="36"/>
      <c r="H45" s="36"/>
      <c r="I45" s="36"/>
      <c r="J45" s="34">
        <v>0.0</v>
      </c>
      <c r="K45" s="34">
        <v>0.0</v>
      </c>
      <c r="L45" s="34">
        <v>0.0</v>
      </c>
      <c r="M45" s="34">
        <v>0.0</v>
      </c>
      <c r="N45" s="36"/>
      <c r="O45" s="38"/>
      <c r="P45" s="38"/>
      <c r="Q45" s="38"/>
      <c r="R45" s="38"/>
      <c r="S45" s="38"/>
      <c r="T45" s="38"/>
      <c r="U45" s="38"/>
      <c r="V45" s="38"/>
      <c r="W45" s="38"/>
      <c r="X45" s="38"/>
      <c r="Y45" s="38"/>
    </row>
    <row r="46">
      <c r="A46" s="34">
        <v>43.0</v>
      </c>
      <c r="B46" s="64" t="s">
        <v>313</v>
      </c>
      <c r="C46" s="34" t="s">
        <v>20</v>
      </c>
      <c r="D46" s="34"/>
      <c r="E46" s="60"/>
      <c r="F46" s="36"/>
      <c r="G46" s="36"/>
      <c r="H46" s="36"/>
      <c r="I46" s="36"/>
      <c r="J46" s="34">
        <v>0.0</v>
      </c>
      <c r="K46" s="34">
        <v>0.0</v>
      </c>
      <c r="L46" s="34">
        <v>0.0</v>
      </c>
      <c r="M46" s="34">
        <v>0.0</v>
      </c>
      <c r="N46" s="36"/>
      <c r="O46" s="38"/>
      <c r="P46" s="38"/>
      <c r="Q46" s="38"/>
      <c r="R46" s="38"/>
      <c r="S46" s="38"/>
      <c r="T46" s="38"/>
      <c r="U46" s="38"/>
      <c r="V46" s="38"/>
      <c r="W46" s="38"/>
      <c r="X46" s="38"/>
      <c r="Y46" s="38"/>
    </row>
    <row r="47">
      <c r="A47" s="34">
        <v>44.0</v>
      </c>
      <c r="B47" s="64" t="s">
        <v>314</v>
      </c>
      <c r="C47" s="34" t="s">
        <v>9</v>
      </c>
      <c r="D47" s="34" t="s">
        <v>297</v>
      </c>
      <c r="E47" s="35" t="str">
        <f>HYPERLINK("https://www.city.sodegaura.lg.jp/soshiki/toshi/bankjyouhoichiran.html", "Link to Chiba City Sodegaura")</f>
        <v>Link to Chiba City Sodegaura</v>
      </c>
      <c r="F47" s="36"/>
      <c r="G47" s="36"/>
      <c r="H47" s="36"/>
      <c r="I47" s="36"/>
      <c r="J47" s="34">
        <v>1.0</v>
      </c>
      <c r="K47" s="34">
        <v>1.0</v>
      </c>
      <c r="L47" s="34">
        <v>2.0</v>
      </c>
      <c r="M47" s="34">
        <v>0.0</v>
      </c>
      <c r="N47" s="36"/>
      <c r="O47" s="38"/>
      <c r="P47" s="38"/>
      <c r="Q47" s="38"/>
      <c r="R47" s="38"/>
      <c r="S47" s="38"/>
      <c r="T47" s="38"/>
      <c r="U47" s="38"/>
      <c r="V47" s="38"/>
      <c r="W47" s="38"/>
      <c r="X47" s="38"/>
      <c r="Y47" s="38"/>
    </row>
    <row r="48">
      <c r="A48" s="29">
        <v>45.0</v>
      </c>
      <c r="B48" s="65" t="s">
        <v>315</v>
      </c>
      <c r="C48" s="29" t="s">
        <v>9</v>
      </c>
      <c r="D48" s="29" t="s">
        <v>139</v>
      </c>
      <c r="E48" s="30" t="str">
        <f>HYPERLINK("https://www.city.sosa.lg.jp/page/page000263.html", "Link to Chiba City Sōsa")</f>
        <v>Link to Chiba City Sōsa</v>
      </c>
      <c r="F48" s="31"/>
      <c r="G48" s="31"/>
      <c r="H48" s="31"/>
      <c r="I48" s="31"/>
      <c r="J48" s="29">
        <v>3.0</v>
      </c>
      <c r="K48" s="29">
        <v>3.0</v>
      </c>
      <c r="L48" s="29">
        <v>2.0</v>
      </c>
      <c r="M48" s="29">
        <v>4.0</v>
      </c>
      <c r="N48" s="31"/>
      <c r="O48" s="33"/>
      <c r="P48" s="33"/>
      <c r="Q48" s="33"/>
      <c r="R48" s="33"/>
      <c r="S48" s="33"/>
      <c r="T48" s="33"/>
      <c r="U48" s="33"/>
      <c r="V48" s="33"/>
      <c r="W48" s="33"/>
      <c r="X48" s="33"/>
      <c r="Y48" s="33"/>
    </row>
    <row r="49">
      <c r="A49" s="34">
        <v>46.0</v>
      </c>
      <c r="B49" s="64" t="s">
        <v>316</v>
      </c>
      <c r="C49" s="34" t="s">
        <v>9</v>
      </c>
      <c r="D49" s="34" t="s">
        <v>317</v>
      </c>
      <c r="E49" s="35" t="str">
        <f>HYPERLINK("http://www.akiya-navi.com/tako_akiya_bank/list.php?Kind=3", "Link to Chiba City Tako")</f>
        <v>Link to Chiba City Tako</v>
      </c>
      <c r="F49" s="36"/>
      <c r="G49" s="36"/>
      <c r="H49" s="36"/>
      <c r="I49" s="36"/>
      <c r="J49" s="34">
        <v>0.0</v>
      </c>
      <c r="K49" s="34">
        <v>0.0</v>
      </c>
      <c r="L49" s="34">
        <v>0.0</v>
      </c>
      <c r="M49" s="34">
        <v>0.0</v>
      </c>
      <c r="N49" s="36"/>
      <c r="O49" s="38"/>
      <c r="P49" s="38"/>
      <c r="Q49" s="38"/>
      <c r="R49" s="38"/>
      <c r="S49" s="38"/>
      <c r="T49" s="38"/>
      <c r="U49" s="38"/>
      <c r="V49" s="38"/>
      <c r="W49" s="38"/>
      <c r="X49" s="38"/>
      <c r="Y49" s="38"/>
    </row>
    <row r="50">
      <c r="A50" s="34">
        <v>47.0</v>
      </c>
      <c r="B50" s="64" t="s">
        <v>318</v>
      </c>
      <c r="C50" s="34" t="s">
        <v>319</v>
      </c>
      <c r="D50" s="34" t="s">
        <v>276</v>
      </c>
      <c r="E50" s="60"/>
      <c r="F50" s="36"/>
      <c r="G50" s="36"/>
      <c r="H50" s="36"/>
      <c r="I50" s="36"/>
      <c r="J50" s="34">
        <v>0.0</v>
      </c>
      <c r="K50" s="34">
        <v>0.0</v>
      </c>
      <c r="L50" s="34">
        <v>0.0</v>
      </c>
      <c r="M50" s="34">
        <v>0.0</v>
      </c>
      <c r="N50" s="36"/>
      <c r="O50" s="38"/>
      <c r="P50" s="38"/>
      <c r="Q50" s="38"/>
      <c r="R50" s="38"/>
      <c r="S50" s="38"/>
      <c r="T50" s="38"/>
      <c r="U50" s="38"/>
      <c r="V50" s="38"/>
      <c r="W50" s="38"/>
      <c r="X50" s="38"/>
      <c r="Y50" s="38"/>
    </row>
    <row r="51">
      <c r="A51" s="34">
        <v>48.0</v>
      </c>
      <c r="B51" s="64" t="s">
        <v>320</v>
      </c>
      <c r="C51" s="34" t="s">
        <v>20</v>
      </c>
      <c r="D51" s="34"/>
      <c r="E51" s="60"/>
      <c r="F51" s="36"/>
      <c r="G51" s="36"/>
      <c r="H51" s="36"/>
      <c r="I51" s="36"/>
      <c r="J51" s="34">
        <v>0.0</v>
      </c>
      <c r="K51" s="34">
        <v>0.0</v>
      </c>
      <c r="L51" s="34">
        <v>0.0</v>
      </c>
      <c r="M51" s="34">
        <v>0.0</v>
      </c>
      <c r="N51" s="36"/>
      <c r="O51" s="38"/>
      <c r="P51" s="38"/>
      <c r="Q51" s="38"/>
      <c r="R51" s="38"/>
      <c r="S51" s="38"/>
      <c r="T51" s="38"/>
      <c r="U51" s="38"/>
      <c r="V51" s="38"/>
      <c r="W51" s="38"/>
      <c r="X51" s="38"/>
      <c r="Y51" s="38"/>
    </row>
    <row r="52">
      <c r="A52" s="34">
        <v>49.0</v>
      </c>
      <c r="B52" s="64" t="s">
        <v>321</v>
      </c>
      <c r="C52" s="34" t="s">
        <v>20</v>
      </c>
      <c r="D52" s="34"/>
      <c r="E52" s="60"/>
      <c r="F52" s="36"/>
      <c r="G52" s="36"/>
      <c r="H52" s="36"/>
      <c r="I52" s="36"/>
      <c r="J52" s="34">
        <v>0.0</v>
      </c>
      <c r="K52" s="34">
        <v>0.0</v>
      </c>
      <c r="L52" s="34">
        <v>0.0</v>
      </c>
      <c r="M52" s="34">
        <v>0.0</v>
      </c>
      <c r="N52" s="36"/>
      <c r="O52" s="38"/>
      <c r="P52" s="38"/>
      <c r="Q52" s="38"/>
      <c r="R52" s="38"/>
      <c r="S52" s="38"/>
      <c r="T52" s="38"/>
      <c r="U52" s="38"/>
      <c r="V52" s="38"/>
      <c r="W52" s="38"/>
      <c r="X52" s="38"/>
      <c r="Y52" s="38"/>
    </row>
    <row r="53">
      <c r="A53" s="34">
        <v>50.0</v>
      </c>
      <c r="B53" s="64" t="s">
        <v>322</v>
      </c>
      <c r="C53" s="34" t="s">
        <v>9</v>
      </c>
      <c r="D53" s="34" t="s">
        <v>144</v>
      </c>
      <c r="E53" s="60"/>
      <c r="F53" s="36"/>
      <c r="G53" s="36"/>
      <c r="H53" s="36"/>
      <c r="I53" s="36"/>
      <c r="J53" s="34">
        <v>0.0</v>
      </c>
      <c r="K53" s="34">
        <v>0.0</v>
      </c>
      <c r="L53" s="34">
        <v>0.0</v>
      </c>
      <c r="M53" s="34">
        <v>0.0</v>
      </c>
      <c r="N53" s="36"/>
      <c r="O53" s="38"/>
      <c r="P53" s="38"/>
      <c r="Q53" s="38"/>
      <c r="R53" s="38"/>
      <c r="S53" s="38"/>
      <c r="T53" s="38"/>
      <c r="U53" s="38"/>
      <c r="V53" s="38"/>
      <c r="W53" s="38"/>
      <c r="X53" s="38"/>
      <c r="Y53" s="38"/>
    </row>
    <row r="54">
      <c r="A54" s="34">
        <v>51.0</v>
      </c>
      <c r="B54" s="64" t="s">
        <v>323</v>
      </c>
      <c r="C54" s="34" t="s">
        <v>20</v>
      </c>
      <c r="D54" s="34"/>
      <c r="E54" s="60"/>
      <c r="F54" s="36"/>
      <c r="G54" s="36"/>
      <c r="H54" s="36"/>
      <c r="I54" s="36"/>
      <c r="J54" s="34">
        <v>0.0</v>
      </c>
      <c r="K54" s="34">
        <v>0.0</v>
      </c>
      <c r="L54" s="34">
        <v>0.0</v>
      </c>
      <c r="M54" s="34">
        <v>0.0</v>
      </c>
      <c r="N54" s="36"/>
      <c r="O54" s="38"/>
      <c r="P54" s="38"/>
      <c r="Q54" s="38"/>
      <c r="R54" s="38"/>
      <c r="S54" s="38"/>
      <c r="T54" s="38"/>
      <c r="U54" s="38"/>
      <c r="V54" s="38"/>
      <c r="W54" s="38"/>
      <c r="X54" s="38"/>
      <c r="Y54" s="38"/>
    </row>
    <row r="55">
      <c r="A55" s="34">
        <v>52.0</v>
      </c>
      <c r="B55" s="64" t="s">
        <v>324</v>
      </c>
      <c r="C55" s="34" t="s">
        <v>20</v>
      </c>
      <c r="D55" s="34"/>
      <c r="E55" s="60"/>
      <c r="F55" s="36"/>
      <c r="G55" s="36"/>
      <c r="H55" s="36"/>
      <c r="I55" s="36"/>
      <c r="J55" s="34">
        <v>0.0</v>
      </c>
      <c r="K55" s="34">
        <v>0.0</v>
      </c>
      <c r="L55" s="34">
        <v>0.0</v>
      </c>
      <c r="M55" s="34">
        <v>0.0</v>
      </c>
      <c r="N55" s="36"/>
      <c r="O55" s="38"/>
      <c r="P55" s="38"/>
      <c r="Q55" s="38"/>
      <c r="R55" s="38"/>
      <c r="S55" s="38"/>
      <c r="T55" s="38"/>
      <c r="U55" s="38"/>
      <c r="V55" s="38"/>
      <c r="W55" s="38"/>
      <c r="X55" s="38"/>
      <c r="Y55" s="38"/>
    </row>
    <row r="56">
      <c r="A56" s="34">
        <v>53.0</v>
      </c>
      <c r="B56" s="64" t="s">
        <v>325</v>
      </c>
      <c r="C56" s="34" t="s">
        <v>20</v>
      </c>
      <c r="D56" s="34"/>
      <c r="E56" s="60"/>
      <c r="F56" s="36"/>
      <c r="G56" s="36"/>
      <c r="H56" s="36"/>
      <c r="I56" s="36"/>
      <c r="J56" s="34">
        <v>0.0</v>
      </c>
      <c r="K56" s="34">
        <v>0.0</v>
      </c>
      <c r="L56" s="34">
        <v>0.0</v>
      </c>
      <c r="M56" s="34">
        <v>0.0</v>
      </c>
      <c r="N56" s="36"/>
      <c r="O56" s="38"/>
      <c r="P56" s="38"/>
      <c r="Q56" s="38"/>
      <c r="R56" s="38"/>
      <c r="S56" s="38"/>
      <c r="T56" s="38"/>
      <c r="U56" s="38"/>
      <c r="V56" s="38"/>
      <c r="W56" s="38"/>
      <c r="X56" s="38"/>
      <c r="Y56" s="38"/>
    </row>
    <row r="57">
      <c r="A57" s="34">
        <v>54.0</v>
      </c>
      <c r="B57" s="64" t="s">
        <v>326</v>
      </c>
      <c r="C57" s="34" t="s">
        <v>20</v>
      </c>
      <c r="D57" s="34"/>
      <c r="E57" s="60"/>
      <c r="F57" s="36"/>
      <c r="G57" s="36"/>
      <c r="H57" s="36"/>
      <c r="I57" s="36"/>
      <c r="J57" s="34">
        <v>0.0</v>
      </c>
      <c r="K57" s="34">
        <v>0.0</v>
      </c>
      <c r="L57" s="34">
        <v>0.0</v>
      </c>
      <c r="M57" s="34">
        <v>0.0</v>
      </c>
      <c r="N57" s="36"/>
      <c r="O57" s="38"/>
      <c r="P57" s="38"/>
      <c r="Q57" s="38"/>
      <c r="R57" s="38"/>
      <c r="S57" s="38"/>
      <c r="T57" s="38"/>
      <c r="U57" s="38"/>
      <c r="V57" s="38"/>
      <c r="W57" s="38"/>
      <c r="X57" s="38"/>
      <c r="Y57" s="38"/>
    </row>
    <row r="58">
      <c r="A58" s="34">
        <v>55.0</v>
      </c>
      <c r="B58" s="64" t="s">
        <v>327</v>
      </c>
      <c r="C58" s="34" t="s">
        <v>20</v>
      </c>
      <c r="D58" s="34"/>
      <c r="E58" s="60"/>
      <c r="F58" s="36"/>
      <c r="G58" s="36"/>
      <c r="H58" s="36"/>
      <c r="I58" s="36"/>
      <c r="J58" s="34">
        <v>0.0</v>
      </c>
      <c r="K58" s="34">
        <v>0.0</v>
      </c>
      <c r="L58" s="34">
        <v>0.0</v>
      </c>
      <c r="M58" s="34">
        <v>0.0</v>
      </c>
      <c r="N58" s="36"/>
      <c r="O58" s="38"/>
      <c r="P58" s="38"/>
      <c r="Q58" s="38"/>
      <c r="R58" s="38"/>
      <c r="S58" s="38"/>
      <c r="T58" s="38"/>
      <c r="U58" s="38"/>
      <c r="V58" s="38"/>
      <c r="W58" s="38"/>
      <c r="X58" s="38"/>
      <c r="Y58" s="38"/>
    </row>
    <row r="59">
      <c r="A59" s="34">
        <v>56.0</v>
      </c>
      <c r="B59" s="64" t="s">
        <v>328</v>
      </c>
      <c r="C59" s="34" t="s">
        <v>9</v>
      </c>
      <c r="D59" s="34" t="s">
        <v>144</v>
      </c>
      <c r="E59" s="35" t="str">
        <f>HYPERLINK("https://www.town.otaki.chiba.jp/index.cfm/9,363,56,html", "Link to Chiba City Ōtaki")</f>
        <v>Link to Chiba City Ōtaki</v>
      </c>
      <c r="F59" s="36"/>
      <c r="G59" s="36"/>
      <c r="H59" s="36"/>
      <c r="I59" s="36"/>
      <c r="J59" s="34">
        <v>0.0</v>
      </c>
      <c r="K59" s="34">
        <v>0.0</v>
      </c>
      <c r="L59" s="34">
        <v>0.0</v>
      </c>
      <c r="M59" s="34">
        <v>0.0</v>
      </c>
      <c r="N59" s="36"/>
      <c r="O59" s="38"/>
      <c r="P59" s="38"/>
      <c r="Q59" s="38"/>
      <c r="R59" s="38"/>
      <c r="S59" s="38"/>
      <c r="T59" s="38"/>
      <c r="U59" s="38"/>
      <c r="V59" s="38"/>
      <c r="W59" s="38"/>
      <c r="X59" s="38"/>
      <c r="Y59" s="38"/>
    </row>
    <row r="60">
      <c r="J60" s="1">
        <v>71.0</v>
      </c>
      <c r="K60" s="1">
        <v>71.0</v>
      </c>
      <c r="L60" s="1">
        <v>65.0</v>
      </c>
      <c r="M60" s="1">
        <v>72.0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13"/>
    <col customWidth="1" min="3" max="3" width="19.63"/>
    <col customWidth="1" min="4" max="4" width="26.88"/>
    <col customWidth="1" min="5" max="5" width="39.88"/>
    <col customWidth="1" min="6" max="6" width="18.25"/>
  </cols>
  <sheetData>
    <row r="2">
      <c r="A2" s="2" t="s">
        <v>329</v>
      </c>
      <c r="B2" s="2" t="s">
        <v>259</v>
      </c>
      <c r="C2" s="66" t="s">
        <v>330</v>
      </c>
      <c r="D2" s="67" t="s">
        <v>331</v>
      </c>
    </row>
    <row r="3">
      <c r="F3" s="3" t="s">
        <v>2</v>
      </c>
      <c r="G3" s="62"/>
    </row>
    <row r="4">
      <c r="A4" s="4" t="s">
        <v>3</v>
      </c>
      <c r="B4" s="4" t="s">
        <v>4</v>
      </c>
      <c r="C4" s="4" t="s">
        <v>5</v>
      </c>
      <c r="D4" s="68" t="s">
        <v>6</v>
      </c>
      <c r="E4" s="4" t="s">
        <v>7</v>
      </c>
      <c r="F4" s="6">
        <v>45323.0</v>
      </c>
      <c r="G4" s="6">
        <v>45352.0</v>
      </c>
      <c r="H4" s="6">
        <v>45383.0</v>
      </c>
      <c r="I4" s="6">
        <v>45413.0</v>
      </c>
      <c r="J4" s="6">
        <v>45444.0</v>
      </c>
      <c r="K4" s="6">
        <v>45474.0</v>
      </c>
      <c r="L4" s="9">
        <v>45505.0</v>
      </c>
      <c r="M4" s="11"/>
      <c r="N4" s="10"/>
    </row>
    <row r="5">
      <c r="A5" s="34">
        <v>1.0</v>
      </c>
      <c r="B5" s="34" t="s">
        <v>332</v>
      </c>
      <c r="C5" s="34" t="s">
        <v>9</v>
      </c>
      <c r="D5" s="69" t="s">
        <v>97</v>
      </c>
      <c r="E5" s="70" t="str">
        <f t="shared" ref="E5:E6" si="1">HYPERLINK("https://rakuen-akiya.jp/housesearch/area/?vender_jiscode%5B%5D=20407",  "Link to " &amp; "Nagano City " &amp; $B5)</f>
        <v>Link to Nagano City Achi</v>
      </c>
      <c r="F5" s="36"/>
      <c r="G5" s="36"/>
      <c r="H5" s="36"/>
      <c r="I5" s="36"/>
      <c r="J5" s="34"/>
      <c r="K5" s="34"/>
      <c r="L5" s="34"/>
      <c r="M5" s="36"/>
      <c r="N5" s="37"/>
      <c r="O5" s="38"/>
      <c r="P5" s="38"/>
      <c r="Q5" s="38"/>
      <c r="R5" s="38"/>
      <c r="S5" s="38"/>
      <c r="T5" s="38"/>
      <c r="U5" s="38"/>
      <c r="V5" s="38"/>
      <c r="W5" s="38"/>
      <c r="X5" s="38"/>
      <c r="Y5" s="38"/>
    </row>
    <row r="6">
      <c r="A6" s="29">
        <v>2.0</v>
      </c>
      <c r="B6" s="29" t="s">
        <v>333</v>
      </c>
      <c r="C6" s="29" t="s">
        <v>9</v>
      </c>
      <c r="D6" s="71" t="s">
        <v>334</v>
      </c>
      <c r="E6" s="72" t="str">
        <f t="shared" si="1"/>
        <v>Link to Nagano City Agematsu</v>
      </c>
      <c r="F6" s="29">
        <v>1.0</v>
      </c>
      <c r="G6" s="29" t="s">
        <v>335</v>
      </c>
      <c r="H6" s="31"/>
      <c r="I6" s="31"/>
      <c r="J6" s="29"/>
      <c r="K6" s="29"/>
      <c r="L6" s="29"/>
      <c r="M6" s="31"/>
      <c r="N6" s="32"/>
      <c r="O6" s="33"/>
      <c r="P6" s="33"/>
      <c r="Q6" s="33"/>
      <c r="R6" s="33"/>
      <c r="S6" s="33"/>
      <c r="T6" s="33"/>
      <c r="U6" s="33"/>
      <c r="V6" s="33"/>
      <c r="W6" s="33"/>
      <c r="X6" s="33"/>
      <c r="Y6" s="33"/>
    </row>
    <row r="7">
      <c r="A7" s="22">
        <v>3.0</v>
      </c>
      <c r="B7" s="22" t="s">
        <v>336</v>
      </c>
      <c r="C7" s="22" t="s">
        <v>9</v>
      </c>
      <c r="D7" s="73" t="s">
        <v>337</v>
      </c>
      <c r="E7" s="74" t="str">
        <f>HYPERLINK("http://www.town.anan.nagano.jp/anan_town/",  "Link to " &amp; "Nagano City " &amp; $B7)</f>
        <v>Link to Nagano City Anan</v>
      </c>
      <c r="F7" s="23"/>
      <c r="G7" s="23"/>
      <c r="H7" s="23"/>
      <c r="I7" s="23"/>
      <c r="J7" s="22"/>
      <c r="K7" s="22"/>
      <c r="L7" s="22"/>
      <c r="M7" s="23"/>
      <c r="N7" s="24"/>
      <c r="O7" s="25"/>
      <c r="P7" s="25"/>
      <c r="Q7" s="25"/>
      <c r="R7" s="25"/>
      <c r="S7" s="25"/>
      <c r="T7" s="25"/>
      <c r="U7" s="25"/>
      <c r="V7" s="25"/>
      <c r="W7" s="25"/>
      <c r="X7" s="25"/>
      <c r="Y7" s="25"/>
    </row>
    <row r="8">
      <c r="A8" s="29">
        <v>4.0</v>
      </c>
      <c r="B8" s="29" t="s">
        <v>338</v>
      </c>
      <c r="C8" s="29" t="s">
        <v>9</v>
      </c>
      <c r="D8" s="71" t="s">
        <v>334</v>
      </c>
      <c r="E8" s="72" t="str">
        <f>HYPERLINK("http://www.vill.aoki.nagano.jp/bukken.html",  "Link to " &amp; "Nagano City " &amp; $B8)</f>
        <v>Link to Nagano City Aoki</v>
      </c>
      <c r="F8" s="31"/>
      <c r="G8" s="31"/>
      <c r="H8" s="31"/>
      <c r="I8" s="31"/>
      <c r="J8" s="29"/>
      <c r="K8" s="29"/>
      <c r="L8" s="29"/>
      <c r="M8" s="31"/>
      <c r="N8" s="32"/>
      <c r="O8" s="33"/>
      <c r="P8" s="33"/>
      <c r="Q8" s="33"/>
      <c r="R8" s="33"/>
      <c r="S8" s="33"/>
      <c r="T8" s="33"/>
      <c r="U8" s="33"/>
      <c r="V8" s="33"/>
      <c r="W8" s="33"/>
      <c r="X8" s="33"/>
      <c r="Y8" s="33"/>
    </row>
    <row r="9">
      <c r="A9" s="34">
        <v>5.0</v>
      </c>
      <c r="B9" s="34" t="s">
        <v>262</v>
      </c>
      <c r="C9" s="34" t="s">
        <v>9</v>
      </c>
      <c r="D9" s="69" t="s">
        <v>203</v>
      </c>
      <c r="E9" s="70" t="str">
        <f>HYPERLINK("https://www.vill.asahi.nagano.jp/official/soshikikarasagasu/kikakuzaisei/kikakutanto/5/367.html",  "Link to " &amp; "Nagano City " &amp; $B9)</f>
        <v>Link to Nagano City Asahi</v>
      </c>
      <c r="F9" s="36"/>
      <c r="G9" s="36"/>
      <c r="H9" s="36"/>
      <c r="I9" s="36"/>
      <c r="J9" s="34"/>
      <c r="K9" s="34"/>
      <c r="L9" s="34"/>
      <c r="M9" s="36"/>
      <c r="N9" s="37"/>
      <c r="O9" s="38"/>
      <c r="P9" s="38"/>
      <c r="Q9" s="38"/>
      <c r="R9" s="38"/>
      <c r="S9" s="38"/>
      <c r="T9" s="38"/>
      <c r="U9" s="38"/>
      <c r="V9" s="38"/>
      <c r="W9" s="38"/>
      <c r="X9" s="38"/>
      <c r="Y9" s="38"/>
    </row>
    <row r="10">
      <c r="A10" s="34">
        <v>6.0</v>
      </c>
      <c r="B10" s="34" t="s">
        <v>339</v>
      </c>
      <c r="C10" s="34" t="s">
        <v>9</v>
      </c>
      <c r="D10" s="69" t="s">
        <v>97</v>
      </c>
      <c r="E10" s="70" t="str">
        <f>HYPERLINK("https://azumino-ijyu.jp/list/?_x_tr_sl=ja&amp;_x",  "Link to " &amp; "Nagano City " &amp; $B10)</f>
        <v>Link to Nagano City Azumino</v>
      </c>
      <c r="F10" s="34">
        <v>2.0</v>
      </c>
      <c r="G10" s="34" t="s">
        <v>340</v>
      </c>
      <c r="H10" s="34" t="s">
        <v>341</v>
      </c>
      <c r="I10" s="36"/>
      <c r="J10" s="34"/>
      <c r="K10" s="34"/>
      <c r="L10" s="34"/>
      <c r="M10" s="36"/>
      <c r="N10" s="37"/>
      <c r="O10" s="38"/>
      <c r="P10" s="38"/>
      <c r="Q10" s="38"/>
      <c r="R10" s="38"/>
      <c r="S10" s="38"/>
      <c r="T10" s="38"/>
      <c r="U10" s="38"/>
      <c r="V10" s="38"/>
      <c r="W10" s="38"/>
      <c r="X10" s="38"/>
      <c r="Y10" s="38"/>
    </row>
    <row r="11">
      <c r="A11" s="34">
        <v>7.0</v>
      </c>
      <c r="B11" s="34" t="s">
        <v>342</v>
      </c>
      <c r="C11" s="34" t="s">
        <v>9</v>
      </c>
      <c r="D11" s="75" t="s">
        <v>97</v>
      </c>
      <c r="E11" s="70" t="str">
        <f>HYPERLINK("https://chikuhoku-akiyabank.jp/houselist.php",  "Link to " &amp; "Nagano City " &amp; $B11)</f>
        <v>Link to Nagano City Chikuhoku</v>
      </c>
      <c r="F11" s="34">
        <v>3.0</v>
      </c>
      <c r="G11" s="34" t="s">
        <v>340</v>
      </c>
      <c r="H11" s="34" t="s">
        <v>341</v>
      </c>
      <c r="I11" s="36"/>
      <c r="J11" s="34"/>
      <c r="K11" s="34"/>
      <c r="L11" s="34"/>
      <c r="M11" s="36"/>
      <c r="N11" s="37"/>
      <c r="O11" s="38"/>
      <c r="P11" s="38"/>
      <c r="Q11" s="38"/>
      <c r="R11" s="38"/>
      <c r="S11" s="38"/>
      <c r="T11" s="38"/>
      <c r="U11" s="38"/>
      <c r="V11" s="38"/>
      <c r="W11" s="38"/>
      <c r="X11" s="38"/>
      <c r="Y11" s="38"/>
    </row>
    <row r="12">
      <c r="A12" s="34">
        <v>8.0</v>
      </c>
      <c r="B12" s="34" t="s">
        <v>343</v>
      </c>
      <c r="C12" s="34" t="s">
        <v>9</v>
      </c>
      <c r="D12" s="69" t="s">
        <v>97</v>
      </c>
      <c r="E12" s="70" t="str">
        <f>HYPERLINK("https://www.city.chikuma.lg.jp/cgi-bin/recruit.php/2/list",  "Link to " &amp; "Nagano City " &amp; $B12)</f>
        <v>Link to Nagano City Chikuma</v>
      </c>
      <c r="F12" s="34">
        <v>4.0</v>
      </c>
      <c r="G12" s="34" t="s">
        <v>340</v>
      </c>
      <c r="H12" s="34" t="s">
        <v>341</v>
      </c>
      <c r="I12" s="36"/>
      <c r="J12" s="34"/>
      <c r="K12" s="34"/>
      <c r="L12" s="34"/>
      <c r="M12" s="36"/>
      <c r="N12" s="37"/>
      <c r="O12" s="38"/>
      <c r="P12" s="38"/>
      <c r="Q12" s="38"/>
      <c r="R12" s="38"/>
      <c r="S12" s="38"/>
      <c r="T12" s="38"/>
      <c r="U12" s="38"/>
      <c r="V12" s="38"/>
      <c r="W12" s="38"/>
      <c r="X12" s="38"/>
      <c r="Y12" s="38"/>
    </row>
    <row r="13">
      <c r="A13" s="34">
        <v>9.0</v>
      </c>
      <c r="B13" s="34" t="s">
        <v>344</v>
      </c>
      <c r="C13" s="34" t="s">
        <v>9</v>
      </c>
      <c r="D13" s="75" t="s">
        <v>97</v>
      </c>
      <c r="E13" s="70" t="str">
        <f>HYPERLINK("https://rakuc.net/akiyabank/uri/",  "Link to " &amp; "Nagano City " &amp; $B13)</f>
        <v>Link to Nagano City Chino</v>
      </c>
      <c r="F13" s="34">
        <v>5.0</v>
      </c>
      <c r="G13" s="34" t="s">
        <v>340</v>
      </c>
      <c r="H13" s="36"/>
      <c r="I13" s="36"/>
      <c r="J13" s="34"/>
      <c r="K13" s="34"/>
      <c r="L13" s="34"/>
      <c r="M13" s="36"/>
      <c r="N13" s="37"/>
      <c r="O13" s="38"/>
      <c r="P13" s="38"/>
      <c r="Q13" s="38"/>
      <c r="R13" s="38"/>
      <c r="S13" s="38"/>
      <c r="T13" s="38"/>
      <c r="U13" s="38"/>
      <c r="V13" s="38"/>
      <c r="W13" s="38"/>
      <c r="X13" s="38"/>
      <c r="Y13" s="38"/>
    </row>
    <row r="14">
      <c r="A14" s="34">
        <v>10.0</v>
      </c>
      <c r="B14" s="34" t="s">
        <v>345</v>
      </c>
      <c r="C14" s="34" t="s">
        <v>9</v>
      </c>
      <c r="D14" s="69" t="s">
        <v>97</v>
      </c>
      <c r="E14" s="70" t="str">
        <f>HYPERLINK("https://u-town-fujimi.jp/dwelling/index.html?category=cat0",  "Link to " &amp; "Nagano City " &amp; $B14)</f>
        <v>Link to Nagano City Fujimi</v>
      </c>
      <c r="F14" s="34">
        <v>6.0</v>
      </c>
      <c r="G14" s="34" t="s">
        <v>340</v>
      </c>
      <c r="H14" s="36"/>
      <c r="I14" s="36"/>
      <c r="J14" s="34"/>
      <c r="K14" s="34"/>
      <c r="L14" s="34"/>
      <c r="M14" s="36"/>
      <c r="N14" s="37"/>
      <c r="O14" s="38"/>
      <c r="P14" s="38"/>
      <c r="Q14" s="38"/>
      <c r="R14" s="38"/>
      <c r="S14" s="38"/>
      <c r="T14" s="38"/>
      <c r="U14" s="38"/>
      <c r="V14" s="38"/>
      <c r="W14" s="38"/>
      <c r="X14" s="38"/>
      <c r="Y14" s="38"/>
    </row>
    <row r="15">
      <c r="A15" s="34">
        <v>11.0</v>
      </c>
      <c r="B15" s="34" t="s">
        <v>346</v>
      </c>
      <c r="C15" s="34" t="s">
        <v>20</v>
      </c>
      <c r="D15" s="76"/>
      <c r="E15" s="70" t="str">
        <f>HYPERLINK("https://www.vill.hakuba.lg.jp/index.html",  "Link to " &amp; "Nagano City " &amp; $B15)</f>
        <v>Link to Nagano City Hakuba</v>
      </c>
      <c r="F15" s="36"/>
      <c r="G15" s="36"/>
      <c r="H15" s="36"/>
      <c r="I15" s="36"/>
      <c r="J15" s="34"/>
      <c r="K15" s="34"/>
      <c r="L15" s="34"/>
      <c r="M15" s="36"/>
      <c r="N15" s="37"/>
      <c r="O15" s="38"/>
      <c r="P15" s="38"/>
      <c r="Q15" s="38"/>
      <c r="R15" s="38"/>
      <c r="S15" s="38"/>
      <c r="T15" s="38"/>
      <c r="U15" s="38"/>
      <c r="V15" s="38"/>
      <c r="W15" s="38"/>
      <c r="X15" s="38"/>
      <c r="Y15" s="38"/>
    </row>
    <row r="16">
      <c r="A16" s="22">
        <v>12.0</v>
      </c>
      <c r="B16" s="22" t="s">
        <v>347</v>
      </c>
      <c r="C16" s="22" t="s">
        <v>9</v>
      </c>
      <c r="D16" s="73" t="s">
        <v>203</v>
      </c>
      <c r="E16" s="74" t="str">
        <f>HYPERLINK("https://www.hara-life.jp/realestate/urihouse/",  "Link to " &amp; "Nagano City " &amp; $B16)</f>
        <v>Link to Nagano City Hara</v>
      </c>
      <c r="F16" s="23"/>
      <c r="G16" s="23"/>
      <c r="H16" s="23"/>
      <c r="I16" s="23"/>
      <c r="J16" s="22"/>
      <c r="K16" s="22"/>
      <c r="L16" s="22"/>
      <c r="M16" s="23"/>
      <c r="N16" s="24"/>
      <c r="O16" s="25"/>
      <c r="P16" s="25"/>
      <c r="Q16" s="25"/>
      <c r="R16" s="25"/>
      <c r="S16" s="25"/>
      <c r="T16" s="25"/>
      <c r="U16" s="25"/>
      <c r="V16" s="25"/>
      <c r="W16" s="25"/>
      <c r="X16" s="25"/>
      <c r="Y16" s="25"/>
    </row>
    <row r="17">
      <c r="A17" s="34">
        <v>13.0</v>
      </c>
      <c r="B17" s="34" t="s">
        <v>348</v>
      </c>
      <c r="C17" s="34" t="s">
        <v>20</v>
      </c>
      <c r="D17" s="76"/>
      <c r="E17" s="70" t="str">
        <f>HYPERLINK("https://www.hirayamura.jp/",  "Link to " &amp; "Nagano City " &amp; $B17)</f>
        <v>Link to Nagano City Hiraya</v>
      </c>
      <c r="F17" s="36"/>
      <c r="G17" s="36"/>
      <c r="H17" s="36"/>
      <c r="I17" s="36"/>
      <c r="J17" s="34"/>
      <c r="K17" s="34"/>
      <c r="L17" s="34"/>
      <c r="M17" s="36"/>
      <c r="N17" s="37"/>
      <c r="O17" s="38"/>
      <c r="P17" s="38"/>
      <c r="Q17" s="38"/>
      <c r="R17" s="38"/>
      <c r="S17" s="38"/>
      <c r="T17" s="38"/>
      <c r="U17" s="38"/>
      <c r="V17" s="38"/>
      <c r="W17" s="38"/>
      <c r="X17" s="38"/>
      <c r="Y17" s="38"/>
    </row>
    <row r="18">
      <c r="A18" s="34">
        <v>14.0</v>
      </c>
      <c r="B18" s="34" t="s">
        <v>349</v>
      </c>
      <c r="C18" s="34" t="s">
        <v>9</v>
      </c>
      <c r="D18" s="69" t="s">
        <v>97</v>
      </c>
      <c r="E18" s="70" t="str">
        <f>HYPERLINK("https://www.city.iida.lg.jp/site/akiyabank/list256-825.html",  "Link to " &amp; "Nagano City " &amp; $B18)</f>
        <v>Link to Nagano City Iida</v>
      </c>
      <c r="F18" s="34">
        <v>7.0</v>
      </c>
      <c r="G18" s="34" t="s">
        <v>340</v>
      </c>
      <c r="H18" s="34" t="s">
        <v>341</v>
      </c>
      <c r="I18" s="36"/>
      <c r="J18" s="34"/>
      <c r="K18" s="34"/>
      <c r="L18" s="34"/>
      <c r="M18" s="36"/>
      <c r="N18" s="37"/>
      <c r="O18" s="38"/>
      <c r="P18" s="38"/>
      <c r="Q18" s="38"/>
      <c r="R18" s="38"/>
      <c r="S18" s="38"/>
      <c r="T18" s="38"/>
      <c r="U18" s="38"/>
      <c r="V18" s="38"/>
      <c r="W18" s="38"/>
      <c r="X18" s="38"/>
      <c r="Y18" s="38"/>
    </row>
    <row r="19">
      <c r="A19" s="34">
        <v>15.0</v>
      </c>
      <c r="B19" s="34" t="s">
        <v>350</v>
      </c>
      <c r="C19" s="34" t="s">
        <v>9</v>
      </c>
      <c r="D19" s="75" t="s">
        <v>97</v>
      </c>
      <c r="E19" s="70" t="str">
        <f>HYPERLINK("https://iju.go-iijima.nagano.jp/information/tag/trade/",  "Link to " &amp; "Nagano City " &amp; $B19)</f>
        <v>Link to Nagano City Iijima</v>
      </c>
      <c r="F19" s="34">
        <v>8.0</v>
      </c>
      <c r="G19" s="34" t="s">
        <v>340</v>
      </c>
      <c r="H19" s="36"/>
      <c r="I19" s="36"/>
      <c r="J19" s="34"/>
      <c r="K19" s="34"/>
      <c r="L19" s="34"/>
      <c r="M19" s="36"/>
      <c r="N19" s="37"/>
      <c r="O19" s="38"/>
      <c r="P19" s="38"/>
      <c r="Q19" s="38"/>
      <c r="R19" s="38"/>
      <c r="S19" s="38"/>
      <c r="T19" s="38"/>
      <c r="U19" s="38"/>
      <c r="V19" s="38"/>
      <c r="W19" s="38"/>
      <c r="X19" s="38"/>
      <c r="Y19" s="38"/>
    </row>
    <row r="20">
      <c r="A20" s="34">
        <v>16.0</v>
      </c>
      <c r="B20" s="34" t="s">
        <v>351</v>
      </c>
      <c r="C20" s="34" t="s">
        <v>9</v>
      </c>
      <c r="D20" s="69" t="s">
        <v>97</v>
      </c>
      <c r="E20" s="70" t="str">
        <f>HYPERLINK("https://furusato-iiyama.net/akiyabank/usedhouse/",  "Link to " &amp; "Nagano City " &amp; $B20)</f>
        <v>Link to Nagano City Iiyama</v>
      </c>
      <c r="F20" s="34">
        <v>9.0</v>
      </c>
      <c r="G20" s="34" t="s">
        <v>352</v>
      </c>
      <c r="H20" s="36"/>
      <c r="I20" s="36"/>
      <c r="J20" s="34"/>
      <c r="K20" s="34"/>
      <c r="L20" s="34"/>
      <c r="M20" s="36"/>
      <c r="N20" s="37"/>
      <c r="O20" s="38"/>
      <c r="P20" s="38"/>
      <c r="Q20" s="38"/>
      <c r="R20" s="38"/>
      <c r="S20" s="38"/>
      <c r="T20" s="38"/>
      <c r="U20" s="38"/>
      <c r="V20" s="38"/>
      <c r="W20" s="38"/>
      <c r="X20" s="38"/>
      <c r="Y20" s="38"/>
    </row>
    <row r="21">
      <c r="A21" s="34">
        <v>17.0</v>
      </c>
      <c r="B21" s="34" t="s">
        <v>353</v>
      </c>
      <c r="C21" s="34" t="s">
        <v>9</v>
      </c>
      <c r="D21" s="69" t="s">
        <v>97</v>
      </c>
      <c r="E21" s="70" t="str">
        <f>HYPERLINK("https://www.town.iizuna.nagano.jp/ijuportal/live/sale/search/",  "Link to " &amp; "Nagano City " &amp; $B21)</f>
        <v>Link to Nagano City Iizuna</v>
      </c>
      <c r="F21" s="34">
        <v>10.0</v>
      </c>
      <c r="G21" s="34" t="s">
        <v>340</v>
      </c>
      <c r="H21" s="34" t="s">
        <v>341</v>
      </c>
      <c r="I21" s="36"/>
      <c r="J21" s="34"/>
      <c r="K21" s="34"/>
      <c r="L21" s="34"/>
      <c r="M21" s="36"/>
      <c r="N21" s="37"/>
      <c r="O21" s="38"/>
      <c r="P21" s="38"/>
      <c r="Q21" s="38"/>
      <c r="R21" s="38"/>
      <c r="S21" s="38"/>
      <c r="T21" s="38"/>
      <c r="U21" s="38"/>
      <c r="V21" s="38"/>
      <c r="W21" s="38"/>
      <c r="X21" s="38"/>
      <c r="Y21" s="38"/>
    </row>
    <row r="22">
      <c r="A22" s="34">
        <v>18.0</v>
      </c>
      <c r="B22" s="34" t="s">
        <v>103</v>
      </c>
      <c r="C22" s="34" t="s">
        <v>9</v>
      </c>
      <c r="D22" s="69" t="s">
        <v>97</v>
      </c>
      <c r="E22" s="70" t="str">
        <f>HYPERLINK("https://www.ikedamachi.net/0000000829.html",  "Link to " &amp; "Nagano City " &amp; $B22)</f>
        <v>Link to Nagano City Ikeda</v>
      </c>
      <c r="F22" s="34">
        <v>11.0</v>
      </c>
      <c r="G22" s="34" t="s">
        <v>340</v>
      </c>
      <c r="H22" s="34" t="s">
        <v>341</v>
      </c>
      <c r="I22" s="36"/>
      <c r="J22" s="34"/>
      <c r="K22" s="34"/>
      <c r="L22" s="34"/>
      <c r="M22" s="36"/>
      <c r="N22" s="37"/>
      <c r="O22" s="38"/>
      <c r="P22" s="38"/>
      <c r="Q22" s="38"/>
      <c r="R22" s="38"/>
      <c r="S22" s="38"/>
      <c r="T22" s="38"/>
      <c r="U22" s="38"/>
      <c r="V22" s="38"/>
      <c r="W22" s="38"/>
      <c r="X22" s="38"/>
      <c r="Y22" s="38"/>
    </row>
    <row r="23">
      <c r="A23" s="34">
        <v>19.0</v>
      </c>
      <c r="B23" s="34" t="s">
        <v>354</v>
      </c>
      <c r="C23" s="34" t="s">
        <v>9</v>
      </c>
      <c r="D23" s="69" t="s">
        <v>97</v>
      </c>
      <c r="E23" s="70" t="str">
        <f>HYPERLINK("https://www.village.ikusaka.nagano.jp/gyousei/muradukuri/akiya_bank.htm",  "Link to " &amp; "Nagano City " &amp; $B23)</f>
        <v>Link to Nagano City Ikusaka</v>
      </c>
      <c r="F23" s="34">
        <v>12.0</v>
      </c>
      <c r="G23" s="34" t="s">
        <v>352</v>
      </c>
      <c r="H23" s="34" t="s">
        <v>341</v>
      </c>
      <c r="I23" s="36"/>
      <c r="J23" s="34"/>
      <c r="K23" s="34"/>
      <c r="L23" s="34"/>
      <c r="M23" s="36"/>
      <c r="N23" s="37"/>
      <c r="O23" s="38"/>
      <c r="P23" s="38"/>
      <c r="Q23" s="38"/>
      <c r="R23" s="38"/>
      <c r="S23" s="38"/>
      <c r="T23" s="38"/>
      <c r="U23" s="38"/>
      <c r="V23" s="38"/>
      <c r="W23" s="38"/>
      <c r="X23" s="38"/>
      <c r="Y23" s="38"/>
    </row>
    <row r="24">
      <c r="A24" s="34">
        <v>20.0</v>
      </c>
      <c r="B24" s="34" t="s">
        <v>355</v>
      </c>
      <c r="C24" s="34" t="s">
        <v>9</v>
      </c>
      <c r="D24" s="75" t="s">
        <v>97</v>
      </c>
      <c r="E24" s="70" t="str">
        <f>HYPERLINK("https://www.ina-akiyabank.jp/estates-old",  "Link to " &amp; "Nagano City " &amp; $B24)</f>
        <v>Link to Nagano City Ina</v>
      </c>
      <c r="F24" s="34">
        <v>13.0</v>
      </c>
      <c r="G24" s="34" t="s">
        <v>340</v>
      </c>
      <c r="H24" s="36"/>
      <c r="I24" s="36"/>
      <c r="J24" s="34"/>
      <c r="K24" s="34"/>
      <c r="L24" s="34"/>
      <c r="M24" s="36"/>
      <c r="N24" s="37"/>
      <c r="O24" s="38"/>
      <c r="P24" s="38"/>
      <c r="Q24" s="38"/>
      <c r="R24" s="38"/>
      <c r="S24" s="38"/>
      <c r="T24" s="38"/>
      <c r="U24" s="38"/>
      <c r="V24" s="38"/>
      <c r="W24" s="38"/>
      <c r="X24" s="38"/>
      <c r="Y24" s="38"/>
    </row>
    <row r="25">
      <c r="A25" s="34">
        <v>21.0</v>
      </c>
      <c r="B25" s="34" t="s">
        <v>356</v>
      </c>
      <c r="C25" s="34" t="s">
        <v>20</v>
      </c>
      <c r="D25" s="76"/>
      <c r="E25" s="70" t="str">
        <f>HYPERLINK("https://www.town.karuizawa.lg.jp/www/index.html",  "Link to " &amp; "Nagano City " &amp; $B25)</f>
        <v>Link to Nagano City Karuizawa</v>
      </c>
      <c r="F25" s="36"/>
      <c r="G25" s="34"/>
      <c r="H25" s="36"/>
      <c r="I25" s="36"/>
      <c r="J25" s="34"/>
      <c r="K25" s="34"/>
      <c r="L25" s="34"/>
      <c r="M25" s="36"/>
      <c r="N25" s="37"/>
      <c r="O25" s="38"/>
      <c r="P25" s="38"/>
      <c r="Q25" s="38"/>
      <c r="R25" s="38"/>
      <c r="S25" s="38"/>
      <c r="T25" s="38"/>
      <c r="U25" s="38"/>
      <c r="V25" s="38"/>
      <c r="W25" s="38"/>
      <c r="X25" s="38"/>
      <c r="Y25" s="38"/>
    </row>
    <row r="26">
      <c r="A26" s="34">
        <v>22.0</v>
      </c>
      <c r="B26" s="34" t="s">
        <v>357</v>
      </c>
      <c r="C26" s="34" t="s">
        <v>20</v>
      </c>
      <c r="D26" s="76"/>
      <c r="E26" s="70" t="str">
        <f>HYPERLINK("https://www.vill.kawakami.nagano.jp/www/genre/1000200000041/index.html",  "Link to " &amp; "Nagano City " &amp; $B26)</f>
        <v>Link to Nagano City Kawakami</v>
      </c>
      <c r="F26" s="36"/>
      <c r="G26" s="36"/>
      <c r="H26" s="36"/>
      <c r="I26" s="36"/>
      <c r="J26" s="34"/>
      <c r="K26" s="34"/>
      <c r="L26" s="34"/>
      <c r="M26" s="36"/>
      <c r="N26" s="37"/>
      <c r="O26" s="38"/>
      <c r="P26" s="38"/>
      <c r="Q26" s="38"/>
      <c r="R26" s="38"/>
      <c r="S26" s="38"/>
      <c r="T26" s="38"/>
      <c r="U26" s="38"/>
      <c r="V26" s="38"/>
      <c r="W26" s="38"/>
      <c r="X26" s="38"/>
      <c r="Y26" s="38"/>
    </row>
    <row r="27">
      <c r="A27" s="29">
        <v>23.0</v>
      </c>
      <c r="B27" s="29" t="s">
        <v>358</v>
      </c>
      <c r="C27" s="29" t="s">
        <v>9</v>
      </c>
      <c r="D27" s="77" t="s">
        <v>334</v>
      </c>
      <c r="E27" s="72" t="str">
        <f>HYPERLINK("https://www.vill.kijimadaira.lg.jp/empty_house/",  "Link to " &amp; "Nagano City " &amp; $B27)</f>
        <v>Link to Nagano City Kijimadaira</v>
      </c>
      <c r="F27" s="29">
        <v>14.0</v>
      </c>
      <c r="G27" s="29" t="s">
        <v>352</v>
      </c>
      <c r="H27" s="29" t="s">
        <v>341</v>
      </c>
      <c r="I27" s="31"/>
      <c r="J27" s="29"/>
      <c r="K27" s="29"/>
      <c r="L27" s="29"/>
      <c r="M27" s="31"/>
      <c r="N27" s="32"/>
      <c r="O27" s="33"/>
      <c r="P27" s="33"/>
      <c r="Q27" s="33"/>
      <c r="R27" s="33"/>
      <c r="S27" s="33"/>
      <c r="T27" s="33"/>
      <c r="U27" s="33"/>
      <c r="V27" s="33"/>
      <c r="W27" s="33"/>
      <c r="X27" s="33"/>
      <c r="Y27" s="33"/>
    </row>
    <row r="28">
      <c r="A28" s="29">
        <v>24.0</v>
      </c>
      <c r="B28" s="29" t="s">
        <v>359</v>
      </c>
      <c r="C28" s="29" t="s">
        <v>9</v>
      </c>
      <c r="D28" s="77" t="s">
        <v>334</v>
      </c>
      <c r="E28" s="72" t="str">
        <f>HYPERLINK("https://www.town-kiso.com/kurashi/sumai/akiya/",  "Link to " &amp; "Nagano City " &amp; $B28)</f>
        <v>Link to Nagano City Kiso Town</v>
      </c>
      <c r="F28" s="31"/>
      <c r="G28" s="31"/>
      <c r="H28" s="31"/>
      <c r="I28" s="31"/>
      <c r="J28" s="29"/>
      <c r="K28" s="29"/>
      <c r="L28" s="29"/>
      <c r="M28" s="31"/>
      <c r="N28" s="32"/>
      <c r="O28" s="33"/>
      <c r="P28" s="33"/>
      <c r="Q28" s="33"/>
      <c r="R28" s="33"/>
      <c r="S28" s="33"/>
      <c r="T28" s="33"/>
      <c r="U28" s="33"/>
      <c r="V28" s="33"/>
      <c r="W28" s="33"/>
      <c r="X28" s="33"/>
      <c r="Y28" s="33"/>
    </row>
    <row r="29">
      <c r="A29" s="34">
        <v>25.0</v>
      </c>
      <c r="B29" s="34" t="s">
        <v>360</v>
      </c>
      <c r="C29" s="34" t="s">
        <v>9</v>
      </c>
      <c r="D29" s="69" t="s">
        <v>361</v>
      </c>
      <c r="E29" s="70" t="str">
        <f>HYPERLINK("https://rakuen-akiya.jp/housesearch/feature/?vender_id=&amp;keyword=%E6%9C%A8%E7%A5%96%E6%9D%91&amp;bc1=1&amp;kakaku1=0&amp;kakaku2=0&amp;kakaku3=0&amp;kakaku4=0&amp;chiku=0&amp;tochi1=0&amp;tochi2=0&amp;tatemono1=0&amp;tatemono2=0",  "Link to " &amp; "Nagano City " &amp; $B29)</f>
        <v>Link to Nagano City Kiso Village</v>
      </c>
      <c r="F29" s="34">
        <v>15.0</v>
      </c>
      <c r="G29" s="34" t="s">
        <v>352</v>
      </c>
      <c r="H29" s="36"/>
      <c r="I29" s="36"/>
      <c r="J29" s="34"/>
      <c r="K29" s="34"/>
      <c r="L29" s="34"/>
      <c r="M29" s="36"/>
      <c r="N29" s="37"/>
      <c r="O29" s="38"/>
      <c r="P29" s="38"/>
      <c r="Q29" s="38"/>
      <c r="R29" s="38"/>
      <c r="S29" s="38"/>
      <c r="T29" s="38"/>
      <c r="U29" s="38"/>
      <c r="V29" s="38"/>
      <c r="W29" s="38"/>
      <c r="X29" s="38"/>
      <c r="Y29" s="38"/>
    </row>
    <row r="30">
      <c r="A30" s="34">
        <v>26.0</v>
      </c>
      <c r="B30" s="34" t="s">
        <v>362</v>
      </c>
      <c r="C30" s="34" t="s">
        <v>20</v>
      </c>
      <c r="D30" s="76"/>
      <c r="E30" s="70" t="str">
        <f>HYPERLINK("http://www.vill.kitaaiki.nagano.jp/",  "Link to " &amp; "Nagano City " &amp; $B30)</f>
        <v>Link to Nagano City Kitaaiki</v>
      </c>
      <c r="F30" s="36"/>
      <c r="G30" s="36"/>
      <c r="H30" s="36"/>
      <c r="I30" s="36"/>
      <c r="J30" s="34"/>
      <c r="K30" s="34"/>
      <c r="L30" s="34"/>
      <c r="M30" s="36"/>
      <c r="N30" s="37"/>
      <c r="O30" s="38"/>
      <c r="P30" s="38"/>
      <c r="Q30" s="38"/>
      <c r="R30" s="38"/>
      <c r="S30" s="38"/>
      <c r="T30" s="38"/>
      <c r="U30" s="38"/>
      <c r="V30" s="38"/>
      <c r="W30" s="38"/>
      <c r="X30" s="38"/>
      <c r="Y30" s="38"/>
    </row>
    <row r="31">
      <c r="A31" s="34">
        <v>27.0</v>
      </c>
      <c r="B31" s="34" t="s">
        <v>363</v>
      </c>
      <c r="C31" s="34" t="s">
        <v>9</v>
      </c>
      <c r="D31" s="69" t="s">
        <v>97</v>
      </c>
      <c r="E31" s="70" t="str">
        <f>HYPERLINK("https://www.city.komagane.nagano.jp/iju_teijusite/sumai/5358.html",  "Link to " &amp; "Nagano City " &amp; $B31)</f>
        <v>Link to Nagano City Komagane</v>
      </c>
      <c r="F31" s="34">
        <v>16.0</v>
      </c>
      <c r="G31" s="34" t="s">
        <v>340</v>
      </c>
      <c r="H31" s="36"/>
      <c r="I31" s="36"/>
      <c r="J31" s="34"/>
      <c r="K31" s="34"/>
      <c r="L31" s="34"/>
      <c r="M31" s="36"/>
      <c r="N31" s="36"/>
      <c r="O31" s="38"/>
      <c r="P31" s="38"/>
      <c r="Q31" s="38"/>
      <c r="R31" s="38"/>
      <c r="S31" s="38"/>
      <c r="T31" s="38"/>
      <c r="U31" s="38"/>
      <c r="V31" s="38"/>
      <c r="W31" s="38"/>
      <c r="X31" s="38"/>
      <c r="Y31" s="38"/>
    </row>
    <row r="32">
      <c r="A32" s="34">
        <v>28.0</v>
      </c>
      <c r="B32" s="34" t="s">
        <v>364</v>
      </c>
      <c r="C32" s="34" t="s">
        <v>9</v>
      </c>
      <c r="D32" s="69" t="s">
        <v>97</v>
      </c>
      <c r="E32" s="70" t="str">
        <f>HYPERLINK("https://www.city.komoro.lg.jp/cgi-bin/recruit.php/1/list",  "Link to " &amp; "Nagano City " &amp; $B32)</f>
        <v>Link to Nagano City Komoro</v>
      </c>
      <c r="F32" s="34">
        <v>17.0</v>
      </c>
      <c r="G32" s="34" t="s">
        <v>340</v>
      </c>
      <c r="H32" s="36"/>
      <c r="I32" s="36"/>
      <c r="J32" s="34"/>
      <c r="K32" s="34"/>
      <c r="L32" s="34"/>
      <c r="M32" s="36"/>
      <c r="N32" s="36"/>
      <c r="O32" s="38"/>
      <c r="P32" s="38"/>
      <c r="Q32" s="38"/>
      <c r="R32" s="38"/>
      <c r="S32" s="38"/>
      <c r="T32" s="38"/>
      <c r="U32" s="38"/>
      <c r="V32" s="38"/>
      <c r="W32" s="38"/>
      <c r="X32" s="38"/>
      <c r="Y32" s="38"/>
    </row>
    <row r="33">
      <c r="A33" s="34">
        <v>29.0</v>
      </c>
      <c r="B33" s="34" t="s">
        <v>365</v>
      </c>
      <c r="C33" s="34" t="s">
        <v>9</v>
      </c>
      <c r="D33" s="69" t="s">
        <v>97</v>
      </c>
      <c r="E33" s="70" t="str">
        <f>HYPERLINK("http://www.iju-koumi.jp/category/%E7%A9%BA%E3%81%8D%E5%AE%B6",  "Link to " &amp; "Nagano City " &amp; $B33)</f>
        <v>Link to Nagano City Koumi</v>
      </c>
      <c r="F33" s="36"/>
      <c r="G33" s="36"/>
      <c r="H33" s="36"/>
      <c r="I33" s="36"/>
      <c r="J33" s="34"/>
      <c r="K33" s="34"/>
      <c r="L33" s="34"/>
      <c r="M33" s="36"/>
      <c r="N33" s="36"/>
      <c r="O33" s="38"/>
      <c r="P33" s="38"/>
      <c r="Q33" s="38"/>
      <c r="R33" s="38"/>
      <c r="S33" s="38"/>
      <c r="T33" s="38"/>
      <c r="U33" s="38"/>
      <c r="V33" s="38"/>
      <c r="W33" s="38"/>
      <c r="X33" s="38"/>
      <c r="Y33" s="38"/>
    </row>
    <row r="34">
      <c r="A34" s="34">
        <v>30.0</v>
      </c>
      <c r="B34" s="34" t="s">
        <v>366</v>
      </c>
      <c r="C34" s="34" t="s">
        <v>9</v>
      </c>
      <c r="D34" s="69" t="s">
        <v>97</v>
      </c>
      <c r="E34" s="70" t="str">
        <f>HYPERLINK("https://www.town.matsukawa.lg.jp/soshikikarasagasu/machizukuriseisakuka/machizukurisuishingakari/6/akiyabannku/akiyabannku/index.html",  "Link to " &amp; "Nagano City " &amp; $B34)</f>
        <v>Link to Nagano City Matsukawa Town</v>
      </c>
      <c r="F34" s="34">
        <v>18.0</v>
      </c>
      <c r="G34" s="34" t="s">
        <v>352</v>
      </c>
      <c r="H34" s="64" t="s">
        <v>341</v>
      </c>
      <c r="I34" s="34"/>
      <c r="J34" s="34"/>
      <c r="K34" s="34"/>
      <c r="L34" s="34"/>
      <c r="M34" s="36"/>
      <c r="N34" s="36"/>
      <c r="O34" s="38"/>
      <c r="P34" s="38"/>
      <c r="Q34" s="38"/>
      <c r="R34" s="38"/>
      <c r="S34" s="38"/>
      <c r="T34" s="38"/>
      <c r="U34" s="38"/>
      <c r="V34" s="38"/>
      <c r="W34" s="38"/>
      <c r="X34" s="38"/>
      <c r="Y34" s="38"/>
    </row>
    <row r="35">
      <c r="A35" s="22">
        <v>31.0</v>
      </c>
      <c r="B35" s="22" t="s">
        <v>367</v>
      </c>
      <c r="C35" s="22" t="s">
        <v>9</v>
      </c>
      <c r="D35" s="73" t="s">
        <v>368</v>
      </c>
      <c r="E35" s="74" t="str">
        <f>HYPERLINK("https://www.vill.matsukawa.nagano.jp/ijyu/",  "Link to " &amp; "Nagano City " &amp; $B35)</f>
        <v>Link to Nagano City Matsukawa Village</v>
      </c>
      <c r="F35" s="23"/>
      <c r="G35" s="23"/>
      <c r="H35" s="23"/>
      <c r="I35" s="23"/>
      <c r="J35" s="22"/>
      <c r="K35" s="22"/>
      <c r="L35" s="22"/>
      <c r="M35" s="23"/>
      <c r="N35" s="23"/>
      <c r="O35" s="25"/>
      <c r="P35" s="25"/>
      <c r="Q35" s="25"/>
      <c r="R35" s="25"/>
      <c r="S35" s="25"/>
      <c r="T35" s="25"/>
      <c r="U35" s="25"/>
      <c r="V35" s="25"/>
      <c r="W35" s="25"/>
      <c r="X35" s="25"/>
      <c r="Y35" s="25"/>
    </row>
    <row r="36">
      <c r="A36" s="34">
        <v>32.0</v>
      </c>
      <c r="B36" s="34" t="s">
        <v>369</v>
      </c>
      <c r="C36" s="34" t="s">
        <v>9</v>
      </c>
      <c r="D36" s="69" t="s">
        <v>97</v>
      </c>
      <c r="E36" s="70" t="str">
        <f>HYPERLINK("https://matsumoto-akiyabank.jp/housesearch/",  "Link to " &amp; "Nagano City " &amp; $B36)</f>
        <v>Link to Nagano City Matsumoto</v>
      </c>
      <c r="F36" s="34">
        <v>19.0</v>
      </c>
      <c r="G36" s="34" t="s">
        <v>340</v>
      </c>
      <c r="H36" s="34" t="s">
        <v>341</v>
      </c>
      <c r="I36" s="36"/>
      <c r="J36" s="34"/>
      <c r="K36" s="34"/>
      <c r="L36" s="34"/>
      <c r="M36" s="36"/>
      <c r="N36" s="36"/>
      <c r="O36" s="38"/>
      <c r="P36" s="38"/>
      <c r="Q36" s="38"/>
      <c r="R36" s="38"/>
      <c r="S36" s="38"/>
      <c r="T36" s="38"/>
      <c r="U36" s="38"/>
      <c r="V36" s="38"/>
      <c r="W36" s="38"/>
      <c r="X36" s="38"/>
      <c r="Y36" s="38"/>
    </row>
    <row r="37">
      <c r="A37" s="22">
        <v>33.0</v>
      </c>
      <c r="B37" s="22" t="s">
        <v>370</v>
      </c>
      <c r="C37" s="22" t="s">
        <v>9</v>
      </c>
      <c r="D37" s="73" t="s">
        <v>173</v>
      </c>
      <c r="E37" s="74" t="str">
        <f>HYPERLINK("https://www.minamiaiki.jp/life-akiya.htm",  "Link to " &amp; "Nagano City " &amp; $B37)</f>
        <v>Link to Nagano City Minamiaiki</v>
      </c>
      <c r="F37" s="23"/>
      <c r="G37" s="23"/>
      <c r="H37" s="23"/>
      <c r="I37" s="23"/>
      <c r="J37" s="22"/>
      <c r="K37" s="22"/>
      <c r="L37" s="22"/>
      <c r="M37" s="23"/>
      <c r="N37" s="23"/>
      <c r="O37" s="25"/>
      <c r="P37" s="25"/>
      <c r="Q37" s="25"/>
      <c r="R37" s="25"/>
      <c r="S37" s="25"/>
      <c r="T37" s="25"/>
      <c r="U37" s="25"/>
      <c r="V37" s="25"/>
      <c r="W37" s="25"/>
      <c r="X37" s="25"/>
      <c r="Y37" s="25"/>
    </row>
    <row r="38">
      <c r="A38" s="22">
        <v>34.0</v>
      </c>
      <c r="B38" s="22" t="s">
        <v>371</v>
      </c>
      <c r="C38" s="22" t="s">
        <v>9</v>
      </c>
      <c r="D38" s="73" t="s">
        <v>372</v>
      </c>
      <c r="E38" s="74" t="str">
        <f>HYPERLINK("https://www.minamimakimura.jp/main/",  "Link to " &amp; "Nagano City " &amp; $B38)</f>
        <v>Link to Nagano City Minamimaki</v>
      </c>
      <c r="F38" s="23"/>
      <c r="G38" s="23"/>
      <c r="H38" s="23"/>
      <c r="I38" s="23"/>
      <c r="J38" s="22"/>
      <c r="K38" s="22"/>
      <c r="L38" s="22"/>
      <c r="M38" s="23"/>
      <c r="N38" s="23"/>
      <c r="O38" s="25"/>
      <c r="P38" s="25"/>
      <c r="Q38" s="25"/>
      <c r="R38" s="25"/>
      <c r="S38" s="25"/>
      <c r="T38" s="25"/>
      <c r="U38" s="25"/>
      <c r="V38" s="25"/>
      <c r="W38" s="25"/>
      <c r="X38" s="25"/>
      <c r="Y38" s="25"/>
    </row>
    <row r="39">
      <c r="A39" s="34">
        <v>35.0</v>
      </c>
      <c r="B39" s="34" t="s">
        <v>373</v>
      </c>
      <c r="C39" s="34" t="s">
        <v>9</v>
      </c>
      <c r="D39" s="69" t="s">
        <v>97</v>
      </c>
      <c r="E39" s="70" t="str">
        <f t="shared" ref="E39:E40" si="2">HYPERLINK("https://www.ina-akiyabank.jp/estates?estate_category_code=old",  "Link to " &amp; "Nagano City " &amp; $B39)</f>
        <v>Link to Nagano City Minamiminowa</v>
      </c>
      <c r="F39" s="34">
        <v>20.0</v>
      </c>
      <c r="G39" s="34" t="s">
        <v>340</v>
      </c>
      <c r="H39" s="36"/>
      <c r="I39" s="36"/>
      <c r="J39" s="34"/>
      <c r="K39" s="34"/>
      <c r="L39" s="34"/>
      <c r="M39" s="36"/>
      <c r="N39" s="36"/>
      <c r="O39" s="38"/>
      <c r="P39" s="38"/>
      <c r="Q39" s="38"/>
      <c r="R39" s="38"/>
      <c r="S39" s="38"/>
      <c r="T39" s="38"/>
      <c r="U39" s="38"/>
      <c r="V39" s="38"/>
      <c r="W39" s="38"/>
      <c r="X39" s="38"/>
      <c r="Y39" s="38"/>
    </row>
    <row r="40">
      <c r="A40" s="34">
        <v>36.0</v>
      </c>
      <c r="B40" s="34" t="s">
        <v>374</v>
      </c>
      <c r="C40" s="34" t="s">
        <v>375</v>
      </c>
      <c r="D40" s="69" t="s">
        <v>97</v>
      </c>
      <c r="E40" s="78" t="str">
        <f t="shared" si="2"/>
        <v>Link to Nagano City Minowa</v>
      </c>
      <c r="F40" s="36"/>
      <c r="G40" s="36"/>
      <c r="H40" s="36"/>
      <c r="I40" s="36"/>
      <c r="J40" s="34"/>
      <c r="K40" s="34"/>
      <c r="L40" s="34"/>
      <c r="M40" s="36"/>
      <c r="N40" s="36"/>
      <c r="O40" s="38"/>
      <c r="P40" s="38"/>
      <c r="Q40" s="38"/>
      <c r="R40" s="38"/>
      <c r="S40" s="38"/>
      <c r="T40" s="38"/>
      <c r="U40" s="38"/>
      <c r="V40" s="38"/>
      <c r="W40" s="38"/>
      <c r="X40" s="38"/>
      <c r="Y40" s="38"/>
    </row>
    <row r="41">
      <c r="A41" s="34">
        <v>37.0</v>
      </c>
      <c r="B41" s="34" t="s">
        <v>376</v>
      </c>
      <c r="C41" s="34" t="s">
        <v>9</v>
      </c>
      <c r="D41" s="69" t="s">
        <v>97</v>
      </c>
      <c r="E41" s="70" t="str">
        <f>HYPERLINK("https://go2miyada.net/estates?filter%5Bcolumn.category%5D=category_02%3A%E5%A3%B2%E5%8D%B4%E4%BD%8F%E5%AE%85",  "Link to " &amp; "Nagano City " &amp; $B41)</f>
        <v>Link to Nagano City Miyada</v>
      </c>
      <c r="F41" s="36"/>
      <c r="G41" s="36"/>
      <c r="H41" s="36"/>
      <c r="I41" s="36"/>
      <c r="J41" s="34"/>
      <c r="K41" s="34"/>
      <c r="L41" s="34"/>
      <c r="M41" s="36"/>
      <c r="N41" s="36"/>
      <c r="O41" s="38"/>
      <c r="P41" s="38"/>
      <c r="Q41" s="38"/>
      <c r="R41" s="38"/>
      <c r="S41" s="38"/>
      <c r="T41" s="38"/>
      <c r="U41" s="38"/>
      <c r="V41" s="38"/>
      <c r="W41" s="38"/>
      <c r="X41" s="38"/>
      <c r="Y41" s="38"/>
    </row>
    <row r="42">
      <c r="A42" s="34">
        <v>38.0</v>
      </c>
      <c r="B42" s="34" t="s">
        <v>377</v>
      </c>
      <c r="C42" s="34" t="s">
        <v>9</v>
      </c>
      <c r="D42" s="69" t="s">
        <v>97</v>
      </c>
      <c r="E42" s="70" t="str">
        <f>HYPERLINK("https://www.town.miyota.nagano.jp/akiyabank/category/akiya_baibai/index.html",  "Link to " &amp; "Nagano City " &amp; $B42)</f>
        <v>Link to Nagano City Miyota</v>
      </c>
      <c r="F42" s="34">
        <v>21.0</v>
      </c>
      <c r="G42" s="34" t="s">
        <v>340</v>
      </c>
      <c r="H42" s="34" t="s">
        <v>341</v>
      </c>
      <c r="I42" s="36"/>
      <c r="J42" s="34"/>
      <c r="K42" s="34"/>
      <c r="L42" s="34"/>
      <c r="M42" s="36"/>
      <c r="N42" s="36"/>
      <c r="O42" s="38"/>
      <c r="P42" s="38"/>
      <c r="Q42" s="38"/>
      <c r="R42" s="38"/>
      <c r="S42" s="38"/>
      <c r="T42" s="38"/>
      <c r="U42" s="38"/>
      <c r="V42" s="38"/>
      <c r="W42" s="38"/>
      <c r="X42" s="38"/>
      <c r="Y42" s="38"/>
    </row>
    <row r="43">
      <c r="A43" s="34">
        <v>39.0</v>
      </c>
      <c r="B43" s="34" t="s">
        <v>329</v>
      </c>
      <c r="C43" s="34" t="s">
        <v>9</v>
      </c>
      <c r="D43" s="69" t="s">
        <v>97</v>
      </c>
      <c r="E43" s="70" t="str">
        <f>HYPERLINK("https://nagano-akiyabank.jp/search/",  "Link to " &amp; "Nagano City " &amp; $B43)</f>
        <v>Link to Nagano City Nagano</v>
      </c>
      <c r="F43" s="36"/>
      <c r="G43" s="36"/>
      <c r="H43" s="36"/>
      <c r="I43" s="36"/>
      <c r="J43" s="34"/>
      <c r="K43" s="34"/>
      <c r="L43" s="34"/>
      <c r="M43" s="36"/>
      <c r="N43" s="36"/>
      <c r="O43" s="38"/>
      <c r="P43" s="38"/>
      <c r="Q43" s="38"/>
      <c r="R43" s="38"/>
      <c r="S43" s="38"/>
      <c r="T43" s="38"/>
      <c r="U43" s="38"/>
      <c r="V43" s="38"/>
      <c r="W43" s="38"/>
      <c r="X43" s="38"/>
      <c r="Y43" s="38"/>
    </row>
    <row r="44">
      <c r="A44" s="34">
        <v>40.0</v>
      </c>
      <c r="B44" s="34" t="s">
        <v>378</v>
      </c>
      <c r="C44" s="34" t="s">
        <v>9</v>
      </c>
      <c r="D44" s="69" t="s">
        <v>97</v>
      </c>
      <c r="E44" s="70" t="str">
        <f>HYPERLINK("https://www.town.nagawa.nagano.jp/soshiki/sogoseisaku/ijyuteijyukakari/1/akiya/218.html",  "Link to " &amp; "Nagano City " &amp; $B44)</f>
        <v>Link to Nagano City Nagawa</v>
      </c>
      <c r="F44" s="34">
        <v>22.0</v>
      </c>
      <c r="G44" s="34" t="s">
        <v>340</v>
      </c>
      <c r="H44" s="36"/>
      <c r="I44" s="36"/>
      <c r="J44" s="34"/>
      <c r="K44" s="34"/>
      <c r="L44" s="34"/>
      <c r="M44" s="36"/>
      <c r="N44" s="36"/>
      <c r="O44" s="38"/>
      <c r="P44" s="38"/>
      <c r="Q44" s="38"/>
      <c r="R44" s="38"/>
      <c r="S44" s="38"/>
      <c r="T44" s="38"/>
      <c r="U44" s="38"/>
      <c r="V44" s="38"/>
      <c r="W44" s="38"/>
      <c r="X44" s="38"/>
      <c r="Y44" s="38"/>
    </row>
    <row r="45">
      <c r="A45" s="34">
        <v>41.0</v>
      </c>
      <c r="B45" s="34" t="s">
        <v>379</v>
      </c>
      <c r="C45" s="34" t="s">
        <v>9</v>
      </c>
      <c r="D45" s="69" t="s">
        <v>97</v>
      </c>
      <c r="E45" s="70" t="str">
        <f>HYPERLINK("https://www.town.nagawa.nagano.jp/kurashi/iju_teiju/akiyabank/index.html",  "Link to " &amp; "Nagano City " &amp; $B45)</f>
        <v>Link to Nagano City Nagiso</v>
      </c>
      <c r="F45" s="60"/>
      <c r="G45" s="36"/>
      <c r="H45" s="36"/>
      <c r="I45" s="36"/>
      <c r="J45" s="34"/>
      <c r="K45" s="34"/>
      <c r="L45" s="34"/>
      <c r="M45" s="36"/>
      <c r="N45" s="36"/>
      <c r="O45" s="38"/>
      <c r="P45" s="38"/>
      <c r="Q45" s="38"/>
      <c r="R45" s="38"/>
      <c r="S45" s="38"/>
      <c r="T45" s="38"/>
      <c r="U45" s="38"/>
      <c r="V45" s="38"/>
      <c r="W45" s="38"/>
      <c r="X45" s="38"/>
      <c r="Y45" s="38"/>
    </row>
    <row r="46">
      <c r="A46" s="22" t="s">
        <v>380</v>
      </c>
      <c r="B46" s="22"/>
      <c r="C46" s="22"/>
      <c r="D46" s="73" t="s">
        <v>337</v>
      </c>
      <c r="E46" s="79"/>
      <c r="F46" s="22"/>
      <c r="G46" s="43"/>
      <c r="H46" s="23"/>
      <c r="I46" s="23"/>
      <c r="J46" s="22"/>
      <c r="K46" s="22"/>
      <c r="L46" s="22"/>
      <c r="M46" s="23"/>
      <c r="N46" s="23"/>
      <c r="O46" s="25"/>
      <c r="P46" s="25"/>
      <c r="Q46" s="25"/>
      <c r="R46" s="25"/>
      <c r="S46" s="25"/>
      <c r="T46" s="25"/>
      <c r="U46" s="25"/>
      <c r="V46" s="25"/>
      <c r="W46" s="25"/>
      <c r="X46" s="25"/>
      <c r="Y46" s="25"/>
    </row>
    <row r="47">
      <c r="A47" s="29">
        <v>42.0</v>
      </c>
      <c r="B47" s="29" t="s">
        <v>232</v>
      </c>
      <c r="C47" s="29" t="s">
        <v>9</v>
      </c>
      <c r="D47" s="77" t="s">
        <v>334</v>
      </c>
      <c r="E47" s="72" t="str">
        <f>HYPERLINK("https://www.vill.nakagawa.nagano.jp/soshiki/chiiki/5376.html", "Link to Nagano City Nakagawa")</f>
        <v>Link to Nagano City Nakagawa</v>
      </c>
      <c r="F47" s="29">
        <v>23.0</v>
      </c>
      <c r="G47" s="29" t="s">
        <v>352</v>
      </c>
      <c r="H47" s="31"/>
      <c r="I47" s="31"/>
      <c r="J47" s="29"/>
      <c r="K47" s="29"/>
      <c r="L47" s="29"/>
      <c r="M47" s="31"/>
      <c r="N47" s="31"/>
      <c r="O47" s="33"/>
      <c r="P47" s="33"/>
      <c r="Q47" s="33"/>
      <c r="R47" s="33"/>
      <c r="S47" s="33"/>
      <c r="T47" s="33"/>
      <c r="U47" s="33"/>
      <c r="V47" s="33"/>
      <c r="W47" s="33"/>
      <c r="X47" s="33"/>
      <c r="Y47" s="33"/>
    </row>
    <row r="48">
      <c r="A48" s="34">
        <v>43.0</v>
      </c>
      <c r="B48" s="34" t="s">
        <v>79</v>
      </c>
      <c r="C48" s="34" t="s">
        <v>9</v>
      </c>
      <c r="D48" s="69" t="s">
        <v>97</v>
      </c>
      <c r="E48" s="70" t="str">
        <f>HYPERLINK("https://www.city.nakano.nagano.jp/docs/2015033100328/", "Link to Nagano City Nakano")</f>
        <v>Link to Nagano City Nakano</v>
      </c>
      <c r="F48" s="34">
        <v>24.0</v>
      </c>
      <c r="G48" s="34" t="s">
        <v>340</v>
      </c>
      <c r="H48" s="36"/>
      <c r="I48" s="36"/>
      <c r="J48" s="34"/>
      <c r="K48" s="34"/>
      <c r="L48" s="34"/>
      <c r="M48" s="36"/>
      <c r="N48" s="36"/>
      <c r="O48" s="38"/>
      <c r="P48" s="38"/>
      <c r="Q48" s="38"/>
      <c r="R48" s="38"/>
      <c r="S48" s="38"/>
      <c r="T48" s="38"/>
      <c r="U48" s="38"/>
      <c r="V48" s="38"/>
      <c r="W48" s="38"/>
      <c r="X48" s="38"/>
      <c r="Y48" s="38"/>
    </row>
    <row r="49">
      <c r="A49" s="34">
        <v>44.0</v>
      </c>
      <c r="B49" s="34" t="s">
        <v>381</v>
      </c>
      <c r="C49" s="34" t="s">
        <v>20</v>
      </c>
      <c r="D49" s="69"/>
      <c r="E49" s="35" t="str">
        <f>HYPERLINK("https://www.city.sodegaura.lg.jp/soshiki/toshi/bankjyouhoichiran.html", "Link to Nagano City Neba")</f>
        <v>Link to Nagano City Neba</v>
      </c>
      <c r="F49" s="36"/>
      <c r="G49" s="36"/>
      <c r="H49" s="36"/>
      <c r="I49" s="36"/>
      <c r="J49" s="34"/>
      <c r="K49" s="34"/>
      <c r="L49" s="34"/>
      <c r="M49" s="36"/>
      <c r="N49" s="36"/>
      <c r="O49" s="38"/>
      <c r="P49" s="38"/>
      <c r="Q49" s="38"/>
      <c r="R49" s="38"/>
      <c r="S49" s="38"/>
      <c r="T49" s="38"/>
      <c r="U49" s="38"/>
      <c r="V49" s="38"/>
      <c r="W49" s="38"/>
      <c r="X49" s="38"/>
      <c r="Y49" s="38"/>
    </row>
    <row r="50">
      <c r="A50" s="29">
        <v>45.0</v>
      </c>
      <c r="B50" s="29" t="s">
        <v>382</v>
      </c>
      <c r="C50" s="29" t="s">
        <v>9</v>
      </c>
      <c r="D50" s="77" t="s">
        <v>334</v>
      </c>
      <c r="E50" s="30" t="str">
        <f>HYPERLINK("https://www.vill.nozawaonsen.nagano.jp/www/contents/1050000000007/index.html", "Link to Nagano City Nozawaonsen")</f>
        <v>Link to Nagano City Nozawaonsen</v>
      </c>
      <c r="F50" s="31"/>
      <c r="G50" s="31"/>
      <c r="H50" s="31"/>
      <c r="I50" s="31"/>
      <c r="J50" s="29"/>
      <c r="K50" s="29"/>
      <c r="L50" s="29"/>
      <c r="M50" s="31"/>
      <c r="N50" s="31"/>
      <c r="O50" s="33"/>
      <c r="P50" s="33"/>
      <c r="Q50" s="33"/>
      <c r="R50" s="33"/>
      <c r="S50" s="33"/>
      <c r="T50" s="33"/>
      <c r="U50" s="33"/>
      <c r="V50" s="33"/>
      <c r="W50" s="33"/>
      <c r="X50" s="33"/>
      <c r="Y50" s="33"/>
    </row>
    <row r="51">
      <c r="A51" s="22">
        <v>46.0</v>
      </c>
      <c r="B51" s="22" t="s">
        <v>383</v>
      </c>
      <c r="C51" s="22" t="s">
        <v>9</v>
      </c>
      <c r="D51" s="73" t="s">
        <v>384</v>
      </c>
      <c r="E51" s="27" t="str">
        <f>HYPERLINK("https://www.town.obuse.nagano.jp/index.html", "Link to Nagano City Obuse")</f>
        <v>Link to Nagano City Obuse</v>
      </c>
      <c r="F51" s="43"/>
      <c r="G51" s="43"/>
      <c r="H51" s="23"/>
      <c r="I51" s="23"/>
      <c r="J51" s="22"/>
      <c r="K51" s="22"/>
      <c r="L51" s="22"/>
      <c r="M51" s="23"/>
      <c r="N51" s="23"/>
      <c r="O51" s="25"/>
      <c r="P51" s="25"/>
      <c r="Q51" s="25"/>
      <c r="R51" s="25"/>
      <c r="S51" s="25"/>
      <c r="T51" s="25"/>
      <c r="U51" s="25"/>
      <c r="V51" s="25"/>
      <c r="W51" s="25"/>
      <c r="X51" s="25"/>
      <c r="Y51" s="25"/>
    </row>
    <row r="52">
      <c r="A52" s="34">
        <v>47.0</v>
      </c>
      <c r="B52" s="34" t="s">
        <v>385</v>
      </c>
      <c r="C52" s="34" t="s">
        <v>9</v>
      </c>
      <c r="D52" s="69" t="s">
        <v>361</v>
      </c>
      <c r="E52" s="70" t="str">
        <f>HYPERLINK("https://ogawamura.jp/bukkenlist/", "Link to Nagano City Ogawa")</f>
        <v>Link to Nagano City Ogawa</v>
      </c>
      <c r="F52" s="34">
        <v>25.0</v>
      </c>
      <c r="G52" s="34" t="s">
        <v>386</v>
      </c>
      <c r="H52" s="36"/>
      <c r="I52" s="36"/>
      <c r="J52" s="34"/>
      <c r="K52" s="34"/>
      <c r="L52" s="34"/>
      <c r="M52" s="36"/>
      <c r="N52" s="36"/>
      <c r="O52" s="38"/>
      <c r="P52" s="38"/>
      <c r="Q52" s="38"/>
      <c r="R52" s="38"/>
      <c r="S52" s="38"/>
      <c r="T52" s="38"/>
      <c r="U52" s="38"/>
      <c r="V52" s="38"/>
      <c r="W52" s="38"/>
      <c r="X52" s="38"/>
      <c r="Y52" s="38"/>
    </row>
    <row r="53">
      <c r="A53" s="34">
        <v>48.0</v>
      </c>
      <c r="B53" s="34" t="s">
        <v>387</v>
      </c>
      <c r="C53" s="34" t="s">
        <v>9</v>
      </c>
      <c r="D53" s="69" t="s">
        <v>334</v>
      </c>
      <c r="E53" s="70" t="str">
        <f>HYPERLINK("https://www.city.okaya.lg.jp/soshikikarasagasu/toshikeikakuka/633/1/6771.html", "Link to Nagano City Okaya")</f>
        <v>Link to Nagano City Okaya</v>
      </c>
      <c r="F53" s="60">
        <v>26.0</v>
      </c>
      <c r="G53" s="34" t="s">
        <v>352</v>
      </c>
      <c r="H53" s="34" t="s">
        <v>388</v>
      </c>
      <c r="I53" s="36"/>
      <c r="J53" s="34"/>
      <c r="K53" s="34"/>
      <c r="L53" s="34"/>
      <c r="M53" s="36"/>
      <c r="N53" s="36"/>
      <c r="O53" s="38"/>
      <c r="P53" s="38"/>
      <c r="Q53" s="38"/>
      <c r="R53" s="38"/>
      <c r="S53" s="38"/>
      <c r="T53" s="38"/>
      <c r="U53" s="38"/>
      <c r="V53" s="38"/>
      <c r="W53" s="38"/>
      <c r="X53" s="38"/>
      <c r="Y53" s="38"/>
    </row>
    <row r="54">
      <c r="A54" s="22">
        <v>49.0</v>
      </c>
      <c r="B54" s="22" t="s">
        <v>389</v>
      </c>
      <c r="C54" s="22" t="s">
        <v>9</v>
      </c>
      <c r="D54" s="73" t="s">
        <v>390</v>
      </c>
      <c r="E54" s="74" t="str">
        <f>HYPERLINK("https://www.vill.omi.nagano.jp/iju/housing.html",  "Link to " &amp; "Nagano City " &amp; $B54)</f>
        <v>Link to Nagano City Omi</v>
      </c>
      <c r="F54" s="23"/>
      <c r="G54" s="23"/>
      <c r="H54" s="23"/>
      <c r="I54" s="23"/>
      <c r="J54" s="22"/>
      <c r="K54" s="22"/>
      <c r="L54" s="22"/>
      <c r="M54" s="23"/>
      <c r="N54" s="23"/>
      <c r="O54" s="25"/>
      <c r="P54" s="25"/>
      <c r="Q54" s="25"/>
      <c r="R54" s="25"/>
      <c r="S54" s="25"/>
      <c r="T54" s="25"/>
      <c r="U54" s="25"/>
      <c r="V54" s="25"/>
      <c r="W54" s="25"/>
      <c r="X54" s="25"/>
      <c r="Y54" s="25"/>
    </row>
    <row r="55">
      <c r="A55" s="22">
        <v>50.0</v>
      </c>
      <c r="B55" s="22" t="s">
        <v>391</v>
      </c>
      <c r="C55" s="22" t="s">
        <v>20</v>
      </c>
      <c r="D55" s="73"/>
      <c r="E55" s="74" t="str">
        <f>HYPERLINK("https://www.vill.otari.nagano.jp/www/contents/1682315157318/index.html",  "Link to " &amp; "Nagano City " &amp; $B55)</f>
        <v>Link to Nagano City Otari</v>
      </c>
      <c r="F55" s="23"/>
      <c r="G55" s="23"/>
      <c r="H55" s="23"/>
      <c r="I55" s="23"/>
      <c r="J55" s="22"/>
      <c r="K55" s="22"/>
      <c r="L55" s="22"/>
      <c r="M55" s="23"/>
      <c r="N55" s="23"/>
      <c r="O55" s="25"/>
      <c r="P55" s="25"/>
      <c r="Q55" s="25"/>
      <c r="R55" s="25"/>
      <c r="S55" s="25"/>
      <c r="T55" s="25"/>
      <c r="U55" s="25"/>
      <c r="V55" s="25"/>
      <c r="W55" s="25"/>
      <c r="X55" s="25"/>
      <c r="Y55" s="25"/>
    </row>
    <row r="56">
      <c r="A56" s="29">
        <v>51.0</v>
      </c>
      <c r="B56" s="29" t="s">
        <v>305</v>
      </c>
      <c r="C56" s="29" t="s">
        <v>9</v>
      </c>
      <c r="D56" s="77" t="s">
        <v>334</v>
      </c>
      <c r="E56" s="72" t="str">
        <f>HYPERLINK("https://www.ina-akiyabank.jp/estates?estate_category_code=old",  "Link to " &amp; "Nagano City " &amp; $B56)</f>
        <v>Link to Nagano City Sakae</v>
      </c>
      <c r="F56" s="29">
        <v>27.0</v>
      </c>
      <c r="G56" s="29" t="s">
        <v>352</v>
      </c>
      <c r="H56" s="31"/>
      <c r="I56" s="31"/>
      <c r="J56" s="29"/>
      <c r="K56" s="29"/>
      <c r="L56" s="29"/>
      <c r="M56" s="31"/>
      <c r="N56" s="31"/>
      <c r="O56" s="33"/>
      <c r="P56" s="33"/>
      <c r="Q56" s="33"/>
      <c r="R56" s="33"/>
      <c r="S56" s="33"/>
      <c r="T56" s="33"/>
      <c r="U56" s="33"/>
      <c r="V56" s="33"/>
      <c r="W56" s="33"/>
      <c r="X56" s="33"/>
      <c r="Y56" s="33"/>
    </row>
    <row r="57">
      <c r="A57" s="34">
        <v>52.0</v>
      </c>
      <c r="B57" s="34" t="s">
        <v>392</v>
      </c>
      <c r="C57" s="34" t="s">
        <v>9</v>
      </c>
      <c r="D57" s="69" t="s">
        <v>97</v>
      </c>
      <c r="E57" s="70" t="str">
        <f>HYPERLINK("https://sakaki-akiyabank.jp/house-search/",  "Link to " &amp; "Nagano City " &amp; $B57)</f>
        <v>Link to Nagano City Sakaki</v>
      </c>
      <c r="F57" s="34">
        <v>28.0</v>
      </c>
      <c r="G57" s="34" t="s">
        <v>340</v>
      </c>
      <c r="H57" s="36"/>
      <c r="I57" s="36"/>
      <c r="J57" s="34"/>
      <c r="K57" s="34"/>
      <c r="L57" s="34"/>
      <c r="M57" s="36"/>
      <c r="N57" s="36"/>
      <c r="O57" s="38"/>
      <c r="P57" s="38"/>
      <c r="Q57" s="38"/>
      <c r="R57" s="38"/>
      <c r="S57" s="38"/>
      <c r="T57" s="38"/>
      <c r="U57" s="38"/>
      <c r="V57" s="38"/>
      <c r="W57" s="38"/>
      <c r="X57" s="38"/>
      <c r="Y57" s="38"/>
    </row>
    <row r="58">
      <c r="A58" s="34">
        <v>53.0</v>
      </c>
      <c r="B58" s="34" t="s">
        <v>393</v>
      </c>
      <c r="C58" s="34" t="s">
        <v>9</v>
      </c>
      <c r="D58" s="69" t="s">
        <v>394</v>
      </c>
      <c r="E58" s="70" t="str">
        <f>HYPERLINK("https://39ijyu.com/all.php?kubun=IE",  "Link to " &amp; "Nagano City " &amp; $B58)</f>
        <v>Link to Nagano City Saku</v>
      </c>
      <c r="F58" s="34">
        <v>29.0</v>
      </c>
      <c r="G58" s="34" t="s">
        <v>340</v>
      </c>
      <c r="H58" s="36"/>
      <c r="I58" s="36"/>
      <c r="J58" s="34"/>
      <c r="K58" s="34"/>
      <c r="L58" s="34"/>
      <c r="M58" s="36"/>
      <c r="N58" s="36"/>
      <c r="O58" s="38"/>
      <c r="P58" s="38"/>
      <c r="Q58" s="38"/>
      <c r="R58" s="38"/>
      <c r="S58" s="38"/>
      <c r="T58" s="38"/>
      <c r="U58" s="38"/>
      <c r="V58" s="38"/>
      <c r="W58" s="38"/>
      <c r="X58" s="38"/>
      <c r="Y58" s="38"/>
    </row>
    <row r="59">
      <c r="A59" s="34">
        <v>54.0</v>
      </c>
      <c r="B59" s="34" t="s">
        <v>395</v>
      </c>
      <c r="C59" s="34" t="s">
        <v>9</v>
      </c>
      <c r="D59" s="69" t="s">
        <v>97</v>
      </c>
      <c r="E59" s="70" t="str">
        <f>HYPERLINK("https://www.town.sakuho.nagano.jp/iju/live/akiya/house/index.html",  "Link to " &amp; "Nagano City " &amp; $B59)</f>
        <v>Link to Nagano City Sakuho</v>
      </c>
      <c r="F59" s="34">
        <v>30.0</v>
      </c>
      <c r="G59" s="34" t="s">
        <v>340</v>
      </c>
      <c r="H59" s="36"/>
      <c r="I59" s="36"/>
      <c r="J59" s="34"/>
      <c r="K59" s="34"/>
      <c r="L59" s="34"/>
      <c r="M59" s="36"/>
      <c r="N59" s="36"/>
      <c r="O59" s="38"/>
      <c r="P59" s="38"/>
      <c r="Q59" s="38"/>
      <c r="R59" s="38"/>
      <c r="S59" s="38"/>
      <c r="T59" s="38"/>
      <c r="U59" s="38"/>
      <c r="V59" s="38"/>
      <c r="W59" s="38"/>
      <c r="X59" s="38"/>
      <c r="Y59" s="38"/>
    </row>
    <row r="60">
      <c r="A60" s="34">
        <v>55.0</v>
      </c>
      <c r="B60" s="34" t="s">
        <v>396</v>
      </c>
      <c r="C60" s="34" t="s">
        <v>20</v>
      </c>
      <c r="D60" s="69"/>
      <c r="E60" s="70" t="str">
        <f t="shared" ref="E60:E61" si="3">HYPERLINK("https://kuguruto-shimosuwa.com/akiya/",  "Link to " &amp; "Nagano City " &amp; $B60)</f>
        <v>Link to Nagano City Shimojō</v>
      </c>
      <c r="F60" s="36"/>
      <c r="G60" s="36"/>
      <c r="H60" s="36"/>
      <c r="I60" s="36"/>
      <c r="J60" s="34"/>
      <c r="K60" s="34"/>
      <c r="L60" s="34"/>
      <c r="M60" s="36"/>
      <c r="N60" s="36"/>
      <c r="O60" s="38"/>
      <c r="P60" s="38"/>
      <c r="Q60" s="38"/>
      <c r="R60" s="38"/>
      <c r="S60" s="38"/>
      <c r="T60" s="38"/>
      <c r="U60" s="38"/>
      <c r="V60" s="38"/>
      <c r="W60" s="38"/>
      <c r="X60" s="38"/>
      <c r="Y60" s="38"/>
    </row>
    <row r="61">
      <c r="A61" s="34">
        <v>56.0</v>
      </c>
      <c r="B61" s="34" t="s">
        <v>397</v>
      </c>
      <c r="C61" s="34" t="s">
        <v>9</v>
      </c>
      <c r="D61" s="69" t="s">
        <v>97</v>
      </c>
      <c r="E61" s="70" t="str">
        <f t="shared" si="3"/>
        <v>Link to Nagano City Shimosuwa</v>
      </c>
      <c r="F61" s="36"/>
      <c r="G61" s="36"/>
      <c r="H61" s="36"/>
      <c r="I61" s="36"/>
      <c r="J61" s="34"/>
      <c r="K61" s="34"/>
      <c r="L61" s="34"/>
      <c r="M61" s="36"/>
      <c r="N61" s="36"/>
      <c r="O61" s="38"/>
      <c r="P61" s="38"/>
      <c r="Q61" s="38"/>
      <c r="R61" s="38"/>
      <c r="S61" s="38"/>
      <c r="T61" s="38"/>
      <c r="U61" s="38"/>
      <c r="V61" s="38"/>
      <c r="W61" s="38"/>
      <c r="X61" s="38"/>
      <c r="Y61" s="38"/>
    </row>
    <row r="62">
      <c r="A62" s="34">
        <v>57.0</v>
      </c>
      <c r="B62" s="34" t="s">
        <v>398</v>
      </c>
      <c r="C62" s="34" t="s">
        <v>9</v>
      </c>
      <c r="D62" s="69" t="s">
        <v>97</v>
      </c>
      <c r="E62" s="70" t="str">
        <f>HYPERLINK("https://shinanomachi-iju.jp/housing/",  "Link to " &amp; "Nagano City " &amp; $B62)</f>
        <v>Link to Nagano City Shinano</v>
      </c>
      <c r="F62" s="37"/>
      <c r="G62" s="37"/>
      <c r="H62" s="37"/>
      <c r="I62" s="37"/>
      <c r="J62" s="80"/>
      <c r="K62" s="80"/>
      <c r="L62" s="80"/>
      <c r="M62" s="37"/>
      <c r="N62" s="37"/>
      <c r="O62" s="38"/>
      <c r="P62" s="38"/>
      <c r="Q62" s="38"/>
      <c r="R62" s="38"/>
      <c r="S62" s="38"/>
      <c r="T62" s="38"/>
      <c r="U62" s="38"/>
      <c r="V62" s="38"/>
      <c r="W62" s="38"/>
      <c r="X62" s="38"/>
      <c r="Y62" s="38"/>
    </row>
    <row r="63">
      <c r="A63" s="29">
        <v>58.0</v>
      </c>
      <c r="B63" s="29" t="s">
        <v>399</v>
      </c>
      <c r="C63" s="29" t="s">
        <v>9</v>
      </c>
      <c r="D63" s="77" t="s">
        <v>334</v>
      </c>
      <c r="E63" s="72" t="str">
        <f>HYPERLINK("https://www.city.shiojiri.lg.jp/site/akiya/",  "Link to " &amp; "Nagano City " &amp; $B63)</f>
        <v>Link to Nagano City Shiojiri</v>
      </c>
      <c r="F63" s="81">
        <v>31.0</v>
      </c>
      <c r="G63" s="81" t="s">
        <v>335</v>
      </c>
      <c r="H63" s="81" t="s">
        <v>400</v>
      </c>
      <c r="I63" s="32"/>
      <c r="J63" s="32"/>
      <c r="K63" s="32"/>
      <c r="L63" s="32"/>
      <c r="M63" s="32"/>
      <c r="N63" s="32"/>
      <c r="O63" s="33"/>
      <c r="P63" s="33"/>
      <c r="Q63" s="33"/>
      <c r="R63" s="33"/>
      <c r="S63" s="33"/>
      <c r="T63" s="33"/>
      <c r="U63" s="33"/>
      <c r="V63" s="33"/>
      <c r="W63" s="33"/>
      <c r="X63" s="33"/>
      <c r="Y63" s="33"/>
    </row>
    <row r="64">
      <c r="A64" s="34">
        <v>59.0</v>
      </c>
      <c r="B64" s="34" t="s">
        <v>401</v>
      </c>
      <c r="C64" s="34" t="s">
        <v>9</v>
      </c>
      <c r="D64" s="69" t="s">
        <v>97</v>
      </c>
      <c r="E64" s="70" t="str">
        <f>HYPERLINK("https://www.city.suwa.lg.jp/akiyabank/?keyword=&amp;bc1=1&amp;tabname=tab01&amp;kakaku1=0&amp;kakaku2=0&amp;kakaku3=0&amp;kakaku4=0&amp;chiku=0&amp;tochi1=0&amp;tochi2=0&amp;tatemono1=0&amp;tatemono2=0&amp;orderby=Price+and+rent+are+cheap",  "Link to " &amp; "Nagano City " &amp; $B64)</f>
        <v>Link to Nagano City Suwa</v>
      </c>
      <c r="F64" s="80">
        <v>32.0</v>
      </c>
      <c r="G64" s="80" t="s">
        <v>340</v>
      </c>
      <c r="H64" s="37"/>
      <c r="I64" s="37"/>
      <c r="J64" s="37"/>
      <c r="K64" s="37"/>
      <c r="L64" s="37"/>
      <c r="M64" s="37"/>
      <c r="N64" s="37"/>
      <c r="O64" s="38"/>
      <c r="P64" s="38"/>
      <c r="Q64" s="38"/>
      <c r="R64" s="38"/>
      <c r="S64" s="38"/>
      <c r="T64" s="38"/>
      <c r="U64" s="38"/>
      <c r="V64" s="38"/>
      <c r="W64" s="38"/>
      <c r="X64" s="38"/>
      <c r="Y64" s="38"/>
    </row>
    <row r="65">
      <c r="A65" s="34">
        <v>60.0</v>
      </c>
      <c r="B65" s="34" t="s">
        <v>402</v>
      </c>
      <c r="C65" s="34" t="s">
        <v>9</v>
      </c>
      <c r="D65" s="69" t="s">
        <v>97</v>
      </c>
      <c r="E65" s="70" t="str">
        <f>HYPERLINK("https://www.city.suzaka.nagano.jp/cgi-bin/recruit.php/1/list/",  "Link to " &amp; "Nagano City " &amp; $B65)</f>
        <v>Link to Nagano City Suzaka</v>
      </c>
      <c r="F65" s="80">
        <v>33.0</v>
      </c>
      <c r="G65" s="80" t="s">
        <v>340</v>
      </c>
      <c r="H65" s="80" t="s">
        <v>400</v>
      </c>
      <c r="I65" s="37"/>
      <c r="J65" s="37"/>
      <c r="K65" s="37"/>
      <c r="L65" s="37"/>
      <c r="M65" s="37"/>
      <c r="N65" s="37"/>
      <c r="O65" s="38"/>
      <c r="P65" s="38"/>
      <c r="Q65" s="38"/>
      <c r="R65" s="38"/>
      <c r="S65" s="38"/>
      <c r="T65" s="38"/>
      <c r="U65" s="38"/>
      <c r="V65" s="38"/>
      <c r="W65" s="38"/>
      <c r="X65" s="38"/>
      <c r="Y65" s="38"/>
    </row>
    <row r="66">
      <c r="A66" s="34">
        <v>61.0</v>
      </c>
      <c r="B66" s="34" t="s">
        <v>403</v>
      </c>
      <c r="C66" s="34" t="s">
        <v>9</v>
      </c>
      <c r="D66" s="69"/>
      <c r="E66" s="70" t="str">
        <f>HYPERLINK("https://www.vill.takagi.lg.jp/",  "Link to " &amp; "Nagano City " &amp; $B66)</f>
        <v>Link to Nagano City Takagi</v>
      </c>
      <c r="F66" s="37"/>
      <c r="G66" s="37"/>
      <c r="H66" s="37"/>
      <c r="I66" s="37"/>
      <c r="J66" s="37"/>
      <c r="K66" s="37"/>
      <c r="L66" s="37"/>
      <c r="M66" s="37"/>
      <c r="N66" s="37"/>
      <c r="O66" s="38"/>
      <c r="P66" s="38"/>
      <c r="Q66" s="38"/>
      <c r="R66" s="38"/>
      <c r="S66" s="38"/>
      <c r="T66" s="38"/>
      <c r="U66" s="38"/>
      <c r="V66" s="38"/>
      <c r="W66" s="38"/>
      <c r="X66" s="38"/>
      <c r="Y66" s="38"/>
    </row>
    <row r="67">
      <c r="A67" s="34">
        <v>62.0</v>
      </c>
      <c r="B67" s="34" t="s">
        <v>404</v>
      </c>
      <c r="C67" s="34" t="s">
        <v>9</v>
      </c>
      <c r="D67" s="69" t="s">
        <v>405</v>
      </c>
      <c r="E67" s="70" t="str">
        <f>HYPERLINK("https://www.town.nagano-takamori.lg.jp/docs/13696.html#%E7%A9%BA%E3%81%8D%E5%AE%B6%E3%83%90%E3%83%B3%E3%82%AF%E7%89%A9%E4%BB%B6%E6%83%85%E5%A0%B1",  "Link to " &amp; "Nagano City " &amp; $B67)</f>
        <v>Link to Nagano City Takamori</v>
      </c>
      <c r="F67" s="37"/>
      <c r="G67" s="37"/>
      <c r="H67" s="37"/>
      <c r="I67" s="37"/>
      <c r="J67" s="37"/>
      <c r="K67" s="37"/>
      <c r="L67" s="37"/>
      <c r="M67" s="37"/>
      <c r="N67" s="37"/>
      <c r="O67" s="38"/>
      <c r="P67" s="38"/>
      <c r="Q67" s="38"/>
      <c r="R67" s="38"/>
      <c r="S67" s="38"/>
      <c r="T67" s="38"/>
      <c r="U67" s="38"/>
      <c r="V67" s="38"/>
      <c r="W67" s="38"/>
      <c r="X67" s="38"/>
      <c r="Y67" s="38"/>
    </row>
    <row r="68">
      <c r="A68" s="34">
        <v>63.0</v>
      </c>
      <c r="B68" s="34" t="s">
        <v>406</v>
      </c>
      <c r="C68" s="34" t="s">
        <v>9</v>
      </c>
      <c r="D68" s="69" t="s">
        <v>97</v>
      </c>
      <c r="E68" s="70" t="str">
        <f>HYPERLINK("https://www.vill.takayama.nagano.jp/akiyabank/rental/",  "Link to " &amp; "Nagano City " &amp; $B68)</f>
        <v>Link to Nagano City Takayama</v>
      </c>
      <c r="F68" s="80">
        <v>34.0</v>
      </c>
      <c r="G68" s="80" t="s">
        <v>340</v>
      </c>
      <c r="H68" s="80" t="s">
        <v>400</v>
      </c>
      <c r="I68" s="37"/>
      <c r="J68" s="37"/>
      <c r="K68" s="37"/>
      <c r="L68" s="37"/>
      <c r="M68" s="37"/>
      <c r="N68" s="37"/>
      <c r="O68" s="38"/>
      <c r="P68" s="38"/>
      <c r="Q68" s="38"/>
      <c r="R68" s="38"/>
      <c r="S68" s="38"/>
      <c r="T68" s="38"/>
      <c r="U68" s="38"/>
      <c r="V68" s="38"/>
      <c r="W68" s="38"/>
      <c r="X68" s="38"/>
      <c r="Y68" s="38"/>
    </row>
    <row r="69">
      <c r="A69" s="34">
        <v>64.0</v>
      </c>
      <c r="B69" s="34" t="s">
        <v>407</v>
      </c>
      <c r="C69" s="34" t="s">
        <v>9</v>
      </c>
      <c r="D69" s="69" t="s">
        <v>97</v>
      </c>
      <c r="E69" s="70" t="str">
        <f>HYPERLINK("https://machikado.tateshina-iju.jp/akiya/",  "Link to " &amp; "Nagano City " &amp; $B69)</f>
        <v>Link to Nagano City Tateshina</v>
      </c>
      <c r="F69" s="37"/>
      <c r="G69" s="37"/>
      <c r="H69" s="37"/>
      <c r="I69" s="37"/>
      <c r="J69" s="37"/>
      <c r="K69" s="37"/>
      <c r="L69" s="37"/>
      <c r="M69" s="37"/>
      <c r="N69" s="37"/>
      <c r="O69" s="38"/>
      <c r="P69" s="38"/>
      <c r="Q69" s="38"/>
      <c r="R69" s="38"/>
      <c r="S69" s="38"/>
      <c r="T69" s="38"/>
      <c r="U69" s="38"/>
      <c r="V69" s="38"/>
      <c r="W69" s="38"/>
      <c r="X69" s="38"/>
      <c r="Y69" s="38"/>
    </row>
    <row r="70">
      <c r="A70" s="34">
        <v>65.0</v>
      </c>
      <c r="B70" s="34" t="s">
        <v>408</v>
      </c>
      <c r="C70" s="34" t="s">
        <v>9</v>
      </c>
      <c r="D70" s="69" t="s">
        <v>97</v>
      </c>
      <c r="E70" s="70" t="str">
        <f>HYPERLINK("https://www.town.tatsuno.lg.jp/gyosei/index.html",  "Link to " &amp; "Nagano City " &amp; $B70)</f>
        <v>Link to Nagano City Tatsuno</v>
      </c>
      <c r="F70" s="37"/>
      <c r="G70" s="37"/>
      <c r="H70" s="37"/>
      <c r="I70" s="37"/>
      <c r="J70" s="37"/>
      <c r="K70" s="37"/>
      <c r="L70" s="37"/>
      <c r="M70" s="37"/>
      <c r="N70" s="37"/>
      <c r="O70" s="38"/>
      <c r="P70" s="38"/>
      <c r="Q70" s="38"/>
      <c r="R70" s="38"/>
      <c r="S70" s="38"/>
      <c r="T70" s="38"/>
      <c r="U70" s="38"/>
      <c r="V70" s="38"/>
      <c r="W70" s="38"/>
      <c r="X70" s="38"/>
      <c r="Y70" s="38"/>
    </row>
    <row r="71">
      <c r="A71" s="29">
        <v>66.0</v>
      </c>
      <c r="B71" s="29" t="s">
        <v>409</v>
      </c>
      <c r="C71" s="29" t="s">
        <v>9</v>
      </c>
      <c r="D71" s="77" t="s">
        <v>334</v>
      </c>
      <c r="E71" s="72" t="str">
        <f>HYPERLINK("https://www.vill-tenryu.jp/notice/administrative/ijyu/ijyu_kurasu/ijyu_akiyabank/",  "Link to " &amp; "Nagano City " &amp; $B71)</f>
        <v>Link to Nagano City Tenryū</v>
      </c>
      <c r="F71" s="81">
        <v>35.0</v>
      </c>
      <c r="G71" s="81" t="s">
        <v>352</v>
      </c>
      <c r="H71" s="81" t="s">
        <v>400</v>
      </c>
      <c r="I71" s="32"/>
      <c r="J71" s="32"/>
      <c r="K71" s="32"/>
      <c r="L71" s="32"/>
      <c r="M71" s="32"/>
      <c r="N71" s="32"/>
      <c r="O71" s="33"/>
      <c r="P71" s="33"/>
      <c r="Q71" s="33"/>
      <c r="R71" s="33"/>
      <c r="S71" s="33"/>
      <c r="T71" s="33"/>
      <c r="U71" s="33"/>
      <c r="V71" s="33"/>
      <c r="W71" s="33"/>
      <c r="X71" s="33"/>
      <c r="Y71" s="33"/>
    </row>
    <row r="72">
      <c r="A72" s="34">
        <v>67.0</v>
      </c>
      <c r="B72" s="34" t="s">
        <v>410</v>
      </c>
      <c r="C72" s="34" t="s">
        <v>20</v>
      </c>
      <c r="D72" s="69"/>
      <c r="E72" s="70" t="str">
        <f>HYPERLINK("https://www.vill.nagano-toyooka.lg.jp/#gsc.tab=0",  "Link to " &amp; "Nagano City " &amp; $B72)</f>
        <v>Link to Nagano City Toyooka</v>
      </c>
      <c r="F72" s="37"/>
      <c r="G72" s="37"/>
      <c r="H72" s="37"/>
      <c r="I72" s="37"/>
      <c r="J72" s="37"/>
      <c r="K72" s="37"/>
      <c r="L72" s="37"/>
      <c r="M72" s="37"/>
      <c r="N72" s="37"/>
      <c r="O72" s="38"/>
      <c r="P72" s="38"/>
      <c r="Q72" s="38"/>
      <c r="R72" s="38"/>
      <c r="S72" s="38"/>
      <c r="T72" s="38"/>
      <c r="U72" s="38"/>
      <c r="V72" s="38"/>
      <c r="W72" s="38"/>
      <c r="X72" s="38"/>
      <c r="Y72" s="38"/>
    </row>
    <row r="73">
      <c r="A73" s="34">
        <v>68.0</v>
      </c>
      <c r="B73" s="34" t="s">
        <v>411</v>
      </c>
      <c r="C73" s="34" t="s">
        <v>9</v>
      </c>
      <c r="D73" s="69" t="s">
        <v>97</v>
      </c>
      <c r="E73" s="70" t="str">
        <f>HYPERLINK("https://akiya.city.tomi.nagano.jp/bukken_ichiran.html",  "Link to " &amp; "Nagano City " &amp; $B73)</f>
        <v>Link to Nagano City Tōmi</v>
      </c>
      <c r="F73" s="37"/>
      <c r="G73" s="37"/>
      <c r="H73" s="37"/>
      <c r="I73" s="37"/>
      <c r="J73" s="37"/>
      <c r="K73" s="37"/>
      <c r="L73" s="37"/>
      <c r="M73" s="37"/>
      <c r="N73" s="37"/>
      <c r="O73" s="38"/>
      <c r="P73" s="38"/>
      <c r="Q73" s="38"/>
      <c r="R73" s="38"/>
      <c r="S73" s="38"/>
      <c r="T73" s="38"/>
      <c r="U73" s="38"/>
      <c r="V73" s="38"/>
      <c r="W73" s="38"/>
      <c r="X73" s="38"/>
      <c r="Y73" s="38"/>
    </row>
    <row r="74">
      <c r="A74" s="34">
        <v>69.0</v>
      </c>
      <c r="B74" s="34" t="s">
        <v>412</v>
      </c>
      <c r="C74" s="34" t="s">
        <v>9</v>
      </c>
      <c r="D74" s="75" t="s">
        <v>97</v>
      </c>
      <c r="E74" s="70" t="str">
        <f>HYPERLINK("https://www.city.ueda.nagano.jp/akiyabank/search.php?hid_flg_search=1&amp;page=1&amp;k_syozaichi%5B%5D=1&amp;k_syozaichi%5B%5D=2&amp;k_syozaichi%5B%5D=3&amp;k_syozaichi%5B%5D=4&amp;k_syozaichi%5B%5D=5&amp;k_syozaichi%5B%5D=0",  "Link to " &amp; "Nagano City " &amp; $B74)</f>
        <v>Link to Nagano City Ueda</v>
      </c>
      <c r="F74" s="80">
        <v>36.0</v>
      </c>
      <c r="G74" s="80" t="s">
        <v>340</v>
      </c>
      <c r="H74" s="80" t="s">
        <v>400</v>
      </c>
      <c r="I74" s="37"/>
      <c r="J74" s="37"/>
      <c r="K74" s="37"/>
      <c r="L74" s="37"/>
      <c r="M74" s="37"/>
      <c r="N74" s="37"/>
      <c r="O74" s="38"/>
      <c r="P74" s="38"/>
      <c r="Q74" s="38"/>
      <c r="R74" s="38"/>
      <c r="S74" s="38"/>
      <c r="T74" s="38"/>
      <c r="U74" s="38"/>
      <c r="V74" s="38"/>
      <c r="W74" s="38"/>
      <c r="X74" s="38"/>
      <c r="Y74" s="38"/>
    </row>
    <row r="75">
      <c r="A75" s="34">
        <v>70.0</v>
      </c>
      <c r="B75" s="34" t="s">
        <v>413</v>
      </c>
      <c r="C75" s="34" t="s">
        <v>20</v>
      </c>
      <c r="D75" s="69"/>
      <c r="E75" s="70" t="str">
        <f>HYPERLINK("https://www.urugi.jp/",  "Link to " &amp; "Nagano City " &amp; $B75)</f>
        <v>Link to Nagano City Urugi</v>
      </c>
      <c r="F75" s="37"/>
      <c r="G75" s="37"/>
      <c r="H75" s="37"/>
      <c r="I75" s="37"/>
      <c r="J75" s="37"/>
      <c r="K75" s="37"/>
      <c r="L75" s="37"/>
      <c r="M75" s="37"/>
      <c r="N75" s="37"/>
      <c r="O75" s="38"/>
      <c r="P75" s="38"/>
      <c r="Q75" s="38"/>
      <c r="R75" s="38"/>
      <c r="S75" s="38"/>
      <c r="T75" s="38"/>
      <c r="U75" s="38"/>
      <c r="V75" s="38"/>
      <c r="W75" s="38"/>
      <c r="X75" s="38"/>
      <c r="Y75" s="38"/>
    </row>
    <row r="76">
      <c r="A76" s="34">
        <v>71.0</v>
      </c>
      <c r="B76" s="34" t="s">
        <v>414</v>
      </c>
      <c r="C76" s="34" t="s">
        <v>9</v>
      </c>
      <c r="D76" s="69" t="s">
        <v>337</v>
      </c>
      <c r="E76" s="70" t="str">
        <f>HYPERLINK("https://www.vill.yamagata.nagano.jp/",  "Link to " &amp; "Nagano City " &amp; $B76)</f>
        <v>Link to Nagano City Yamagata</v>
      </c>
      <c r="F76" s="37"/>
      <c r="G76" s="37"/>
      <c r="H76" s="37"/>
      <c r="I76" s="37"/>
      <c r="J76" s="37"/>
      <c r="K76" s="37"/>
      <c r="L76" s="37"/>
      <c r="M76" s="37"/>
      <c r="N76" s="37"/>
      <c r="O76" s="38"/>
      <c r="P76" s="38"/>
      <c r="Q76" s="38"/>
      <c r="R76" s="38"/>
      <c r="S76" s="38"/>
      <c r="T76" s="38"/>
      <c r="U76" s="38"/>
      <c r="V76" s="38"/>
      <c r="W76" s="38"/>
      <c r="X76" s="38"/>
      <c r="Y76" s="38"/>
    </row>
    <row r="77">
      <c r="A77" s="34">
        <v>72.0</v>
      </c>
      <c r="B77" s="34" t="s">
        <v>415</v>
      </c>
      <c r="C77" s="34" t="s">
        <v>9</v>
      </c>
      <c r="D77" s="69" t="s">
        <v>337</v>
      </c>
      <c r="E77" s="70" t="str">
        <f>HYPERLINK("https://www.town.yamanouchi.nagano.jp/soshiki/ijukokusaikoryu/gyomu/iju_teiju/882.html",  "Link to " &amp; "Nagano City " &amp; $B77)</f>
        <v>Link to Nagano City Yamanouchi</v>
      </c>
      <c r="F77" s="37"/>
      <c r="G77" s="37"/>
      <c r="H77" s="37"/>
      <c r="I77" s="37"/>
      <c r="J77" s="37"/>
      <c r="K77" s="37"/>
      <c r="L77" s="37"/>
      <c r="M77" s="37"/>
      <c r="N77" s="37"/>
      <c r="O77" s="38"/>
      <c r="P77" s="38"/>
      <c r="Q77" s="38"/>
      <c r="R77" s="38"/>
      <c r="S77" s="38"/>
      <c r="T77" s="38"/>
      <c r="U77" s="38"/>
      <c r="V77" s="38"/>
      <c r="W77" s="38"/>
      <c r="X77" s="38"/>
      <c r="Y77" s="38"/>
    </row>
    <row r="78">
      <c r="A78" s="34">
        <v>73.0</v>
      </c>
      <c r="B78" s="34" t="s">
        <v>416</v>
      </c>
      <c r="C78" s="34" t="s">
        <v>20</v>
      </c>
      <c r="D78" s="69"/>
      <c r="E78" s="70" t="str">
        <f>HYPERLINK("https://www.vill.yasuoka.nagano.jp/",  "Link to " &amp; "Nagano City " &amp; $B78)</f>
        <v>Link to Nagano City Yasuoka</v>
      </c>
      <c r="F78" s="37"/>
      <c r="G78" s="37"/>
      <c r="H78" s="37"/>
      <c r="I78" s="37"/>
      <c r="J78" s="37"/>
      <c r="K78" s="37"/>
      <c r="L78" s="37"/>
      <c r="M78" s="37"/>
      <c r="N78" s="37"/>
      <c r="O78" s="38"/>
      <c r="P78" s="38"/>
      <c r="Q78" s="38"/>
      <c r="R78" s="38"/>
      <c r="S78" s="38"/>
      <c r="T78" s="38"/>
      <c r="U78" s="38"/>
      <c r="V78" s="38"/>
      <c r="W78" s="38"/>
      <c r="X78" s="38"/>
      <c r="Y78" s="38"/>
    </row>
    <row r="79">
      <c r="A79" s="82">
        <v>74.0</v>
      </c>
      <c r="B79" s="82" t="s">
        <v>417</v>
      </c>
      <c r="C79" s="82" t="s">
        <v>9</v>
      </c>
      <c r="D79" s="83" t="s">
        <v>418</v>
      </c>
      <c r="E79" s="84" t="str">
        <f>HYPERLINK("https://www.vill.okuwa.lg.jp/kurashi/akiyabank/",  "Link to " &amp; "Nagano City " &amp; $B79)</f>
        <v>Link to Nagano City Ōkuwa</v>
      </c>
      <c r="F79" s="85"/>
      <c r="G79" s="85"/>
      <c r="H79" s="85"/>
      <c r="I79" s="85"/>
      <c r="J79" s="85"/>
      <c r="K79" s="85"/>
      <c r="L79" s="85"/>
      <c r="M79" s="85"/>
      <c r="N79" s="85"/>
      <c r="O79" s="86"/>
      <c r="P79" s="86"/>
      <c r="Q79" s="86"/>
      <c r="R79" s="86"/>
      <c r="S79" s="86"/>
      <c r="T79" s="86"/>
      <c r="U79" s="86"/>
      <c r="V79" s="86"/>
      <c r="W79" s="86"/>
      <c r="X79" s="86"/>
      <c r="Y79" s="86"/>
    </row>
    <row r="80">
      <c r="A80" s="29">
        <v>75.0</v>
      </c>
      <c r="B80" s="29" t="s">
        <v>419</v>
      </c>
      <c r="C80" s="29" t="s">
        <v>9</v>
      </c>
      <c r="D80" s="77" t="s">
        <v>334</v>
      </c>
      <c r="E80" s="72" t="str">
        <f>HYPERLINK("https://iju-omachi.jp/akiyabank",  "Link to " &amp; "Nagano City " &amp; $B80)</f>
        <v>Link to Nagano City Ōmachi</v>
      </c>
      <c r="F80" s="81">
        <v>37.0</v>
      </c>
      <c r="G80" s="81" t="s">
        <v>335</v>
      </c>
      <c r="H80" s="81" t="s">
        <v>400</v>
      </c>
      <c r="I80" s="32"/>
      <c r="J80" s="32"/>
      <c r="K80" s="32"/>
      <c r="L80" s="32"/>
      <c r="M80" s="32"/>
      <c r="N80" s="32"/>
      <c r="O80" s="33"/>
      <c r="P80" s="33"/>
      <c r="Q80" s="33"/>
      <c r="R80" s="33"/>
      <c r="S80" s="33"/>
      <c r="T80" s="33"/>
      <c r="U80" s="33"/>
      <c r="V80" s="33"/>
      <c r="W80" s="33"/>
      <c r="X80" s="33"/>
      <c r="Y80" s="33"/>
    </row>
    <row r="81">
      <c r="A81" s="34">
        <v>76.0</v>
      </c>
      <c r="B81" s="34" t="s">
        <v>420</v>
      </c>
      <c r="C81" s="34" t="s">
        <v>9</v>
      </c>
      <c r="D81" s="69" t="s">
        <v>421</v>
      </c>
      <c r="E81" s="70" t="str">
        <f>HYPERLINK("http://www.vill.ooshika.nagano.jp/akiyabank_user/",  "Link to " &amp; "Nagano City " &amp; $B81)</f>
        <v>Link to Nagano City Ōshika</v>
      </c>
      <c r="F81" s="80">
        <v>38.0</v>
      </c>
      <c r="G81" s="80" t="s">
        <v>340</v>
      </c>
      <c r="H81" s="80" t="s">
        <v>400</v>
      </c>
      <c r="I81" s="37"/>
      <c r="J81" s="37"/>
      <c r="K81" s="37"/>
      <c r="L81" s="37"/>
      <c r="M81" s="37"/>
      <c r="N81" s="37"/>
      <c r="O81" s="38"/>
      <c r="P81" s="38"/>
      <c r="Q81" s="38"/>
      <c r="R81" s="38"/>
      <c r="S81" s="38"/>
      <c r="T81" s="38"/>
      <c r="U81" s="38"/>
      <c r="V81" s="38"/>
      <c r="W81" s="38"/>
      <c r="X81" s="38"/>
      <c r="Y81" s="38"/>
    </row>
    <row r="82">
      <c r="A82" s="34">
        <v>77.0</v>
      </c>
      <c r="B82" s="34" t="s">
        <v>328</v>
      </c>
      <c r="C82" s="34" t="s">
        <v>20</v>
      </c>
      <c r="D82" s="69"/>
      <c r="E82" s="70" t="str">
        <f>HYPERLINK("https://rakuen-akiya.jp/housesearch/vender/?vender_id=9056",  "Link to " &amp; "Nagano City " &amp; $B82)</f>
        <v>Link to Nagano City Ōtaki</v>
      </c>
      <c r="F82" s="80">
        <v>39.0</v>
      </c>
      <c r="G82" s="80" t="s">
        <v>340</v>
      </c>
      <c r="H82" s="80" t="s">
        <v>400</v>
      </c>
      <c r="I82" s="37"/>
      <c r="J82" s="37"/>
      <c r="K82" s="37"/>
      <c r="L82" s="37"/>
      <c r="M82" s="37"/>
      <c r="N82" s="37"/>
      <c r="O82" s="38"/>
      <c r="P82" s="38"/>
      <c r="Q82" s="38"/>
      <c r="R82" s="38"/>
      <c r="S82" s="38"/>
      <c r="T82" s="38"/>
      <c r="U82" s="38"/>
      <c r="V82" s="38"/>
      <c r="W82" s="38"/>
      <c r="X82" s="38"/>
      <c r="Y82" s="38"/>
    </row>
    <row r="89">
      <c r="A89" s="3" t="s">
        <v>130</v>
      </c>
      <c r="B89" s="3">
        <f>COUNTIF(D:D,"Table Data")</f>
        <v>39</v>
      </c>
    </row>
    <row r="90">
      <c r="A90" s="3" t="s">
        <v>139</v>
      </c>
      <c r="B90" s="3">
        <f>COUNTIF(D:D,"PDF")</f>
        <v>11</v>
      </c>
    </row>
  </sheetData>
  <hyperlinks>
    <hyperlink r:id="rId1" ref="D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13"/>
    <col customWidth="1" min="3" max="3" width="15.25"/>
    <col customWidth="1" min="4" max="4" width="26.88"/>
    <col customWidth="1" min="5" max="5" width="39.88"/>
    <col customWidth="1" min="6" max="6" width="18.25"/>
  </cols>
  <sheetData>
    <row r="2">
      <c r="A2" s="2" t="s">
        <v>422</v>
      </c>
      <c r="B2" s="2" t="s">
        <v>259</v>
      </c>
    </row>
    <row r="3">
      <c r="F3" s="3" t="s">
        <v>2</v>
      </c>
      <c r="G3" s="62"/>
    </row>
    <row r="4">
      <c r="A4" s="4" t="s">
        <v>3</v>
      </c>
      <c r="B4" s="4" t="s">
        <v>4</v>
      </c>
      <c r="C4" s="4" t="s">
        <v>5</v>
      </c>
      <c r="D4" s="4" t="s">
        <v>6</v>
      </c>
      <c r="E4" s="4" t="s">
        <v>7</v>
      </c>
      <c r="F4" s="6">
        <v>45323.0</v>
      </c>
      <c r="G4" s="6">
        <v>45352.0</v>
      </c>
      <c r="H4" s="6">
        <v>45383.0</v>
      </c>
      <c r="I4" s="6">
        <v>45413.0</v>
      </c>
      <c r="J4" s="6">
        <v>45444.0</v>
      </c>
      <c r="K4" s="6">
        <v>45474.0</v>
      </c>
      <c r="L4" s="9">
        <v>45505.0</v>
      </c>
      <c r="M4" s="11"/>
      <c r="N4" s="10"/>
      <c r="O4" s="10"/>
      <c r="P4" s="10"/>
      <c r="Q4" s="10"/>
    </row>
    <row r="5">
      <c r="A5" s="22">
        <v>1.0</v>
      </c>
      <c r="B5" s="87" t="s">
        <v>423</v>
      </c>
      <c r="C5" s="22"/>
      <c r="D5" s="88" t="s">
        <v>424</v>
      </c>
      <c r="E5" s="24" t="str">
        <f>HYPERLINK("", "Link to Shizuoka's miunicipality")</f>
        <v>Link to Shizuoka's miunicipality</v>
      </c>
      <c r="F5" s="23"/>
      <c r="G5" s="23"/>
      <c r="H5" s="23"/>
      <c r="I5" s="23"/>
      <c r="J5" s="22"/>
      <c r="K5" s="22"/>
      <c r="L5" s="22"/>
      <c r="M5" s="23"/>
      <c r="N5" s="24"/>
      <c r="O5" s="24"/>
      <c r="P5" s="24"/>
      <c r="Q5" s="24"/>
      <c r="R5" s="25"/>
      <c r="S5" s="25"/>
      <c r="T5" s="25"/>
      <c r="U5" s="25"/>
      <c r="V5" s="25"/>
      <c r="W5" s="25"/>
      <c r="X5" s="25"/>
      <c r="Y5" s="25"/>
    </row>
    <row r="6">
      <c r="A6" s="34">
        <v>2.0</v>
      </c>
      <c r="B6" s="80" t="s">
        <v>425</v>
      </c>
      <c r="C6" s="34"/>
      <c r="D6" s="34" t="s">
        <v>130</v>
      </c>
      <c r="E6" s="89" t="str">
        <f>HYPERLINK("https://iju-fujicity-jp.translate.goog/support/living/house/?_x_tr_sl=ja&amp;_x_tr_tl=en&amp;_x_tr_hl=en-US", "Link to Shizuoka's miunicipality")</f>
        <v>Link to Shizuoka's miunicipality</v>
      </c>
      <c r="F6" s="36"/>
      <c r="G6" s="36"/>
      <c r="H6" s="36"/>
      <c r="I6" s="36"/>
      <c r="J6" s="34"/>
      <c r="K6" s="34"/>
      <c r="L6" s="34"/>
      <c r="M6" s="36"/>
      <c r="N6" s="37"/>
      <c r="O6" s="37"/>
      <c r="P6" s="37"/>
      <c r="Q6" s="37"/>
      <c r="R6" s="38"/>
      <c r="S6" s="38"/>
      <c r="T6" s="38"/>
      <c r="U6" s="38"/>
      <c r="V6" s="38"/>
      <c r="W6" s="38"/>
      <c r="X6" s="38"/>
      <c r="Y6" s="38"/>
    </row>
    <row r="7">
      <c r="A7" s="29">
        <v>3.0</v>
      </c>
      <c r="B7" s="81" t="s">
        <v>426</v>
      </c>
      <c r="C7" s="29"/>
      <c r="D7" s="29" t="s">
        <v>162</v>
      </c>
      <c r="E7" s="90" t="str">
        <f>HYPERLINK("https://www.city.fujieda.shizuoka.jp/soshiki/sports_bunka/chusankan/gyomu/1/1445912783404.html", "Link to Shizuoka's miunicipality")</f>
        <v>Link to Shizuoka's miunicipality</v>
      </c>
      <c r="F7" s="31"/>
      <c r="G7" s="31"/>
      <c r="H7" s="31"/>
      <c r="I7" s="31"/>
      <c r="J7" s="29"/>
      <c r="K7" s="29"/>
      <c r="L7" s="29"/>
      <c r="M7" s="31"/>
      <c r="N7" s="32"/>
      <c r="O7" s="32"/>
      <c r="P7" s="32"/>
      <c r="Q7" s="32"/>
      <c r="R7" s="33"/>
      <c r="S7" s="33"/>
      <c r="T7" s="33"/>
      <c r="U7" s="33"/>
      <c r="V7" s="33"/>
      <c r="W7" s="33"/>
      <c r="X7" s="33"/>
      <c r="Y7" s="33"/>
    </row>
    <row r="8">
      <c r="A8" s="34">
        <v>4.0</v>
      </c>
      <c r="B8" s="80" t="s">
        <v>427</v>
      </c>
      <c r="C8" s="34"/>
      <c r="D8" s="34" t="s">
        <v>130</v>
      </c>
      <c r="E8" s="89" t="str">
        <f>HYPERLINK("https://www-fujinomiya--life-com.translate.goog/estate/?_x_tr_sl=ja&amp;_x_tr_tl=en&amp;_x_tr_hl=en-US", "Link to Shizuoka's miunicipality")</f>
        <v>Link to Shizuoka's miunicipality</v>
      </c>
      <c r="F8" s="36"/>
      <c r="G8" s="36"/>
      <c r="H8" s="36"/>
      <c r="I8" s="36"/>
      <c r="J8" s="34"/>
      <c r="K8" s="34"/>
      <c r="L8" s="34"/>
      <c r="M8" s="36"/>
      <c r="N8" s="37"/>
      <c r="O8" s="37"/>
      <c r="P8" s="37"/>
      <c r="Q8" s="37"/>
      <c r="R8" s="38"/>
      <c r="S8" s="38"/>
      <c r="T8" s="38"/>
      <c r="U8" s="38"/>
      <c r="V8" s="38"/>
      <c r="W8" s="38"/>
      <c r="X8" s="38"/>
      <c r="Y8" s="38"/>
    </row>
    <row r="9">
      <c r="A9" s="22">
        <v>5.0</v>
      </c>
      <c r="B9" s="87" t="s">
        <v>428</v>
      </c>
      <c r="C9" s="22"/>
      <c r="D9" s="22" t="s">
        <v>160</v>
      </c>
      <c r="E9" s="24" t="str">
        <f t="shared" ref="E9:E11" si="1">HYPERLINK("", "Link to Shizuoka's miunicipality")</f>
        <v>Link to Shizuoka's miunicipality</v>
      </c>
      <c r="F9" s="23"/>
      <c r="G9" s="23"/>
      <c r="H9" s="23"/>
      <c r="I9" s="23"/>
      <c r="J9" s="22"/>
      <c r="K9" s="22"/>
      <c r="L9" s="22"/>
      <c r="M9" s="23"/>
      <c r="N9" s="24"/>
      <c r="O9" s="24"/>
      <c r="P9" s="24"/>
      <c r="Q9" s="24"/>
      <c r="R9" s="25"/>
      <c r="S9" s="25"/>
      <c r="T9" s="25"/>
      <c r="U9" s="25"/>
      <c r="V9" s="25"/>
      <c r="W9" s="25"/>
      <c r="X9" s="25"/>
      <c r="Y9" s="25"/>
    </row>
    <row r="10">
      <c r="A10" s="22">
        <v>6.0</v>
      </c>
      <c r="B10" s="87" t="s">
        <v>429</v>
      </c>
      <c r="C10" s="22"/>
      <c r="D10" s="88" t="s">
        <v>124</v>
      </c>
      <c r="E10" s="24" t="str">
        <f t="shared" si="1"/>
        <v>Link to Shizuoka's miunicipality</v>
      </c>
      <c r="F10" s="23"/>
      <c r="G10" s="23"/>
      <c r="H10" s="23"/>
      <c r="I10" s="23"/>
      <c r="J10" s="22"/>
      <c r="K10" s="22"/>
      <c r="L10" s="22"/>
      <c r="M10" s="23"/>
      <c r="N10" s="24"/>
      <c r="O10" s="24"/>
      <c r="P10" s="24"/>
      <c r="Q10" s="24"/>
      <c r="R10" s="25"/>
      <c r="S10" s="25"/>
      <c r="T10" s="25"/>
      <c r="U10" s="25"/>
      <c r="V10" s="25"/>
      <c r="W10" s="25"/>
      <c r="X10" s="25"/>
      <c r="Y10" s="25"/>
    </row>
    <row r="11">
      <c r="A11" s="22">
        <v>7.0</v>
      </c>
      <c r="B11" s="87" t="s">
        <v>430</v>
      </c>
      <c r="C11" s="22"/>
      <c r="D11" s="22" t="s">
        <v>424</v>
      </c>
      <c r="E11" s="24" t="str">
        <f t="shared" si="1"/>
        <v>Link to Shizuoka's miunicipality</v>
      </c>
      <c r="F11" s="23"/>
      <c r="G11" s="23"/>
      <c r="H11" s="23"/>
      <c r="I11" s="23"/>
      <c r="J11" s="22"/>
      <c r="K11" s="22"/>
      <c r="L11" s="22"/>
      <c r="M11" s="23"/>
      <c r="N11" s="24"/>
      <c r="O11" s="24"/>
      <c r="P11" s="24"/>
      <c r="Q11" s="24"/>
      <c r="R11" s="25"/>
      <c r="S11" s="25"/>
      <c r="T11" s="25"/>
      <c r="U11" s="25"/>
      <c r="V11" s="25"/>
      <c r="W11" s="25"/>
      <c r="X11" s="25"/>
      <c r="Y11" s="25"/>
    </row>
    <row r="12">
      <c r="A12" s="29">
        <v>8.0</v>
      </c>
      <c r="B12" s="81" t="s">
        <v>431</v>
      </c>
      <c r="C12" s="29"/>
      <c r="D12" s="29" t="s">
        <v>162</v>
      </c>
      <c r="E12" s="90" t="str">
        <f>HYPERLINK("https://www.town.higashiizu.shizuoka.jp/bg/life/ent/1470.html", "Link to Shizuoka's miunicipality")</f>
        <v>Link to Shizuoka's miunicipality</v>
      </c>
      <c r="F12" s="31"/>
      <c r="G12" s="31"/>
      <c r="H12" s="31"/>
      <c r="I12" s="31"/>
      <c r="J12" s="29"/>
      <c r="K12" s="29"/>
      <c r="L12" s="29"/>
      <c r="M12" s="31"/>
      <c r="N12" s="32"/>
      <c r="O12" s="32"/>
      <c r="P12" s="32"/>
      <c r="Q12" s="32"/>
      <c r="R12" s="33"/>
      <c r="S12" s="33"/>
      <c r="T12" s="33"/>
      <c r="U12" s="33"/>
      <c r="V12" s="33"/>
      <c r="W12" s="33"/>
      <c r="X12" s="33"/>
      <c r="Y12" s="33"/>
    </row>
    <row r="13">
      <c r="A13" s="22">
        <v>9.0</v>
      </c>
      <c r="B13" s="87" t="s">
        <v>432</v>
      </c>
      <c r="C13" s="22"/>
      <c r="D13" s="22" t="s">
        <v>160</v>
      </c>
      <c r="E13" s="24" t="str">
        <f>HYPERLINK("", "Link to Shizuoka's miunicipality")</f>
        <v>Link to Shizuoka's miunicipality</v>
      </c>
      <c r="F13" s="23"/>
      <c r="G13" s="23"/>
      <c r="H13" s="23"/>
      <c r="I13" s="23"/>
      <c r="J13" s="22"/>
      <c r="K13" s="22"/>
      <c r="L13" s="22"/>
      <c r="M13" s="23"/>
      <c r="N13" s="24"/>
      <c r="O13" s="24"/>
      <c r="P13" s="24"/>
      <c r="Q13" s="24"/>
      <c r="R13" s="25"/>
      <c r="S13" s="25"/>
      <c r="T13" s="25"/>
      <c r="U13" s="25"/>
      <c r="V13" s="25"/>
      <c r="W13" s="25"/>
      <c r="X13" s="25"/>
      <c r="Y13" s="25"/>
    </row>
    <row r="14">
      <c r="A14" s="29">
        <v>10.0</v>
      </c>
      <c r="B14" s="81" t="s">
        <v>433</v>
      </c>
      <c r="C14" s="29"/>
      <c r="D14" s="29" t="s">
        <v>162</v>
      </c>
      <c r="E14" s="90" t="str">
        <f>HYPERLINK("https://www.city.iwata.shizuoka.jp/kurashi_tetsuzuki/juutaku_pet_seikatsu/1010112/1009122/index.html", "Link to Shizuoka's miunicipality")</f>
        <v>Link to Shizuoka's miunicipality</v>
      </c>
      <c r="F14" s="31"/>
      <c r="G14" s="31"/>
      <c r="H14" s="31"/>
      <c r="I14" s="31"/>
      <c r="J14" s="29"/>
      <c r="K14" s="29"/>
      <c r="L14" s="29"/>
      <c r="M14" s="31"/>
      <c r="N14" s="32"/>
      <c r="O14" s="32"/>
      <c r="P14" s="32"/>
      <c r="Q14" s="32"/>
      <c r="R14" s="33"/>
      <c r="S14" s="33"/>
      <c r="T14" s="33"/>
      <c r="U14" s="33"/>
      <c r="V14" s="33"/>
      <c r="W14" s="33"/>
      <c r="X14" s="33"/>
      <c r="Y14" s="33"/>
    </row>
    <row r="15">
      <c r="A15" s="22">
        <v>11.0</v>
      </c>
      <c r="B15" s="87" t="s">
        <v>434</v>
      </c>
      <c r="C15" s="22"/>
      <c r="D15" s="22" t="s">
        <v>435</v>
      </c>
      <c r="E15" s="91" t="str">
        <f>HYPERLINK("https://iju.city.izu.shizuoka.jp/query1.html?c1=2#1", "Link to Shizuoka's miunicipality")</f>
        <v>Link to Shizuoka's miunicipality</v>
      </c>
      <c r="F15" s="23"/>
      <c r="G15" s="23"/>
      <c r="H15" s="23"/>
      <c r="I15" s="23"/>
      <c r="J15" s="22"/>
      <c r="K15" s="22"/>
      <c r="L15" s="22"/>
      <c r="M15" s="23"/>
      <c r="N15" s="24"/>
      <c r="O15" s="24"/>
      <c r="P15" s="24"/>
      <c r="Q15" s="24"/>
      <c r="R15" s="25"/>
      <c r="S15" s="25"/>
      <c r="T15" s="25"/>
      <c r="U15" s="25"/>
      <c r="V15" s="25"/>
      <c r="W15" s="25"/>
      <c r="X15" s="25"/>
      <c r="Y15" s="25"/>
    </row>
    <row r="16">
      <c r="A16" s="22">
        <v>12.0</v>
      </c>
      <c r="B16" s="87" t="s">
        <v>436</v>
      </c>
      <c r="C16" s="22"/>
      <c r="D16" s="22" t="s">
        <v>124</v>
      </c>
      <c r="E16" s="24" t="str">
        <f t="shared" ref="E16:E19" si="2">HYPERLINK("", "Link to Shizuoka's miunicipality")</f>
        <v>Link to Shizuoka's miunicipality</v>
      </c>
      <c r="F16" s="23"/>
      <c r="G16" s="23"/>
      <c r="H16" s="23"/>
      <c r="I16" s="23"/>
      <c r="J16" s="22"/>
      <c r="K16" s="22"/>
      <c r="L16" s="22"/>
      <c r="M16" s="23"/>
      <c r="N16" s="24"/>
      <c r="O16" s="24"/>
      <c r="P16" s="24"/>
      <c r="Q16" s="24"/>
      <c r="R16" s="25"/>
      <c r="S16" s="25"/>
      <c r="T16" s="25"/>
      <c r="U16" s="25"/>
      <c r="V16" s="25"/>
      <c r="W16" s="25"/>
      <c r="X16" s="25"/>
      <c r="Y16" s="25"/>
    </row>
    <row r="17">
      <c r="A17" s="22">
        <v>13.0</v>
      </c>
      <c r="B17" s="87" t="s">
        <v>437</v>
      </c>
      <c r="C17" s="22"/>
      <c r="D17" s="22" t="s">
        <v>124</v>
      </c>
      <c r="E17" s="24" t="str">
        <f t="shared" si="2"/>
        <v>Link to Shizuoka's miunicipality</v>
      </c>
      <c r="F17" s="23"/>
      <c r="G17" s="23"/>
      <c r="H17" s="23"/>
      <c r="I17" s="23"/>
      <c r="J17" s="22"/>
      <c r="K17" s="22"/>
      <c r="L17" s="22"/>
      <c r="M17" s="23"/>
      <c r="N17" s="24"/>
      <c r="O17" s="24"/>
      <c r="P17" s="24"/>
      <c r="Q17" s="24"/>
      <c r="R17" s="25"/>
      <c r="S17" s="25"/>
      <c r="T17" s="25"/>
      <c r="U17" s="25"/>
      <c r="V17" s="25"/>
      <c r="W17" s="25"/>
      <c r="X17" s="25"/>
      <c r="Y17" s="25"/>
    </row>
    <row r="18">
      <c r="A18" s="22">
        <v>14.0</v>
      </c>
      <c r="B18" s="87" t="s">
        <v>438</v>
      </c>
      <c r="C18" s="22"/>
      <c r="D18" s="88" t="s">
        <v>160</v>
      </c>
      <c r="E18" s="24" t="str">
        <f t="shared" si="2"/>
        <v>Link to Shizuoka's miunicipality</v>
      </c>
      <c r="F18" s="23"/>
      <c r="G18" s="23"/>
      <c r="H18" s="23"/>
      <c r="I18" s="23"/>
      <c r="J18" s="22"/>
      <c r="K18" s="22"/>
      <c r="L18" s="22"/>
      <c r="M18" s="23"/>
      <c r="N18" s="24"/>
      <c r="O18" s="24"/>
      <c r="P18" s="24"/>
      <c r="Q18" s="24"/>
      <c r="R18" s="25"/>
      <c r="S18" s="25"/>
      <c r="T18" s="25"/>
      <c r="U18" s="25"/>
      <c r="V18" s="25"/>
      <c r="W18" s="25"/>
      <c r="X18" s="25"/>
      <c r="Y18" s="25"/>
    </row>
    <row r="19">
      <c r="A19" s="22">
        <v>15.0</v>
      </c>
      <c r="B19" s="87" t="s">
        <v>439</v>
      </c>
      <c r="C19" s="22"/>
      <c r="D19" s="88" t="s">
        <v>124</v>
      </c>
      <c r="E19" s="24" t="str">
        <f t="shared" si="2"/>
        <v>Link to Shizuoka's miunicipality</v>
      </c>
      <c r="F19" s="23"/>
      <c r="G19" s="23"/>
      <c r="H19" s="23"/>
      <c r="I19" s="23"/>
      <c r="J19" s="22"/>
      <c r="K19" s="22"/>
      <c r="L19" s="22"/>
      <c r="M19" s="23"/>
      <c r="N19" s="24"/>
      <c r="O19" s="24"/>
      <c r="P19" s="24"/>
      <c r="Q19" s="24"/>
      <c r="R19" s="25"/>
      <c r="S19" s="25"/>
      <c r="T19" s="25"/>
      <c r="U19" s="25"/>
      <c r="V19" s="25"/>
      <c r="W19" s="25"/>
      <c r="X19" s="25"/>
      <c r="Y19" s="25"/>
    </row>
    <row r="20">
      <c r="A20" s="29">
        <v>16.0</v>
      </c>
      <c r="B20" s="81" t="s">
        <v>440</v>
      </c>
      <c r="C20" s="29"/>
      <c r="D20" s="92" t="s">
        <v>162</v>
      </c>
      <c r="E20" s="90" t="str">
        <f>HYPERLINK("Kawazu", "Link to Shizuoka's miunicipality")</f>
        <v>Link to Shizuoka's miunicipality</v>
      </c>
      <c r="F20" s="31"/>
      <c r="G20" s="31"/>
      <c r="H20" s="31"/>
      <c r="I20" s="31"/>
      <c r="J20" s="29"/>
      <c r="K20" s="29"/>
      <c r="L20" s="29"/>
      <c r="M20" s="31"/>
      <c r="N20" s="32"/>
      <c r="O20" s="32"/>
      <c r="P20" s="32"/>
      <c r="Q20" s="32"/>
      <c r="R20" s="33"/>
      <c r="S20" s="33"/>
      <c r="T20" s="33"/>
      <c r="U20" s="33"/>
      <c r="V20" s="33"/>
      <c r="W20" s="33"/>
      <c r="X20" s="33"/>
      <c r="Y20" s="33"/>
    </row>
    <row r="21">
      <c r="A21" s="22">
        <v>17.0</v>
      </c>
      <c r="B21" s="87" t="s">
        <v>441</v>
      </c>
      <c r="C21" s="22"/>
      <c r="D21" s="22" t="s">
        <v>424</v>
      </c>
      <c r="E21" s="24" t="str">
        <f>HYPERLINK("", "Link to Shizuoka's miunicipality")</f>
        <v>Link to Shizuoka's miunicipality</v>
      </c>
      <c r="F21" s="23"/>
      <c r="G21" s="23"/>
      <c r="H21" s="23"/>
      <c r="I21" s="23"/>
      <c r="J21" s="22"/>
      <c r="K21" s="22"/>
      <c r="L21" s="22"/>
      <c r="M21" s="23"/>
      <c r="N21" s="24"/>
      <c r="O21" s="24"/>
      <c r="P21" s="24"/>
      <c r="Q21" s="24"/>
      <c r="R21" s="25"/>
      <c r="S21" s="25"/>
      <c r="T21" s="25"/>
      <c r="U21" s="25"/>
      <c r="V21" s="25"/>
      <c r="W21" s="25"/>
      <c r="X21" s="25"/>
      <c r="Y21" s="25"/>
    </row>
    <row r="22">
      <c r="A22" s="29">
        <v>18.0</v>
      </c>
      <c r="B22" s="81" t="s">
        <v>442</v>
      </c>
      <c r="C22" s="29"/>
      <c r="D22" s="92" t="s">
        <v>162</v>
      </c>
      <c r="E22" s="90" t="str">
        <f>HYPERLINK("https://www.city.kosai.shizuoka.jp/soshikiichiran/toshikeikakuka/gyomuannai/akiya/7841.html", "Link to Shizuoka's miunicipality")</f>
        <v>Link to Shizuoka's miunicipality</v>
      </c>
      <c r="F22" s="31"/>
      <c r="G22" s="31"/>
      <c r="H22" s="31"/>
      <c r="I22" s="31"/>
      <c r="J22" s="29"/>
      <c r="K22" s="29"/>
      <c r="L22" s="29"/>
      <c r="M22" s="31"/>
      <c r="N22" s="32"/>
      <c r="O22" s="32"/>
      <c r="P22" s="32"/>
      <c r="Q22" s="32"/>
      <c r="R22" s="33"/>
      <c r="S22" s="33"/>
      <c r="T22" s="33"/>
      <c r="U22" s="33"/>
      <c r="V22" s="33"/>
      <c r="W22" s="33"/>
      <c r="X22" s="33"/>
      <c r="Y22" s="33"/>
    </row>
    <row r="23">
      <c r="A23" s="34">
        <v>19.0</v>
      </c>
      <c r="B23" s="80" t="s">
        <v>443</v>
      </c>
      <c r="C23" s="34"/>
      <c r="D23" s="34" t="s">
        <v>297</v>
      </c>
      <c r="E23" s="89" t="str">
        <f>HYPERLINK("https://www.city.makinohara.shizuoka.jp/site/makinohara-life/32178.html", "Link to Shizuoka's miunicipality")</f>
        <v>Link to Shizuoka's miunicipality</v>
      </c>
      <c r="F23" s="36"/>
      <c r="G23" s="36"/>
      <c r="H23" s="36"/>
      <c r="I23" s="36"/>
      <c r="J23" s="34"/>
      <c r="K23" s="34"/>
      <c r="L23" s="34"/>
      <c r="M23" s="36"/>
      <c r="N23" s="37"/>
      <c r="O23" s="37"/>
      <c r="P23" s="37"/>
      <c r="Q23" s="37"/>
      <c r="R23" s="38"/>
      <c r="S23" s="38"/>
      <c r="T23" s="38"/>
      <c r="U23" s="38"/>
      <c r="V23" s="38"/>
      <c r="W23" s="38"/>
      <c r="X23" s="38"/>
      <c r="Y23" s="38"/>
    </row>
    <row r="24">
      <c r="A24" s="34">
        <v>20.0</v>
      </c>
      <c r="B24" s="80" t="s">
        <v>444</v>
      </c>
      <c r="C24" s="34"/>
      <c r="D24" s="34" t="s">
        <v>130</v>
      </c>
      <c r="E24" s="89" t="str">
        <f>HYPERLINK("https://izu-iju.jp/real-estate/", "Link to Shizuoka's miunicipality")</f>
        <v>Link to Shizuoka's miunicipality</v>
      </c>
      <c r="F24" s="36"/>
      <c r="G24" s="36"/>
      <c r="H24" s="36"/>
      <c r="I24" s="36"/>
      <c r="J24" s="34"/>
      <c r="K24" s="34"/>
      <c r="L24" s="34"/>
      <c r="M24" s="36"/>
      <c r="N24" s="37"/>
      <c r="O24" s="37"/>
      <c r="P24" s="37"/>
      <c r="Q24" s="37"/>
      <c r="R24" s="38"/>
      <c r="S24" s="38"/>
      <c r="T24" s="38"/>
      <c r="U24" s="38"/>
      <c r="V24" s="38"/>
      <c r="W24" s="38"/>
      <c r="X24" s="38"/>
      <c r="Y24" s="38"/>
    </row>
    <row r="25">
      <c r="A25" s="29">
        <v>21.0</v>
      </c>
      <c r="B25" s="81" t="s">
        <v>445</v>
      </c>
      <c r="C25" s="29"/>
      <c r="D25" s="29" t="s">
        <v>139</v>
      </c>
      <c r="E25" s="90" t="str">
        <f>HYPERLINK("https://www.town.minamiizu.shizuoka.jp/docs/2022030700048/", "Link to Shizuoka's miunicipality")</f>
        <v>Link to Shizuoka's miunicipality</v>
      </c>
      <c r="F25" s="31"/>
      <c r="G25" s="29"/>
      <c r="H25" s="31"/>
      <c r="I25" s="31"/>
      <c r="J25" s="29"/>
      <c r="K25" s="29"/>
      <c r="L25" s="29"/>
      <c r="M25" s="31"/>
      <c r="N25" s="32"/>
      <c r="O25" s="32"/>
      <c r="P25" s="32"/>
      <c r="Q25" s="32"/>
      <c r="R25" s="33"/>
      <c r="S25" s="33"/>
      <c r="T25" s="33"/>
      <c r="U25" s="33"/>
      <c r="V25" s="33"/>
      <c r="W25" s="33"/>
      <c r="X25" s="33"/>
      <c r="Y25" s="33"/>
    </row>
    <row r="26">
      <c r="A26" s="29">
        <v>22.0</v>
      </c>
      <c r="B26" s="81" t="s">
        <v>446</v>
      </c>
      <c r="C26" s="29"/>
      <c r="D26" s="29" t="s">
        <v>139</v>
      </c>
      <c r="E26" s="90" t="str">
        <f>HYPERLINK("https://www.town.morimachi.shizuoka.jp/gyosei/machinososhiki/teijusuishinka/ijukoryugakari/2/2/380.html", "Link to Shizuoka's miunicipality")</f>
        <v>Link to Shizuoka's miunicipality</v>
      </c>
      <c r="F26" s="31"/>
      <c r="G26" s="31"/>
      <c r="H26" s="31"/>
      <c r="I26" s="31"/>
      <c r="J26" s="29"/>
      <c r="K26" s="29"/>
      <c r="L26" s="29"/>
      <c r="M26" s="31"/>
      <c r="N26" s="32"/>
      <c r="O26" s="32"/>
      <c r="P26" s="32"/>
      <c r="Q26" s="32"/>
      <c r="R26" s="33"/>
      <c r="S26" s="33"/>
      <c r="T26" s="33"/>
      <c r="U26" s="33"/>
      <c r="V26" s="33"/>
      <c r="W26" s="33"/>
      <c r="X26" s="33"/>
      <c r="Y26" s="33"/>
    </row>
    <row r="27">
      <c r="A27" s="22">
        <v>23.0</v>
      </c>
      <c r="B27" s="87" t="s">
        <v>447</v>
      </c>
      <c r="C27" s="22"/>
      <c r="D27" s="22" t="s">
        <v>424</v>
      </c>
      <c r="E27" s="24" t="str">
        <f t="shared" ref="E27:E29" si="3">HYPERLINK("", "Link to Shizuoka's miunicipality")</f>
        <v>Link to Shizuoka's miunicipality</v>
      </c>
      <c r="F27" s="23"/>
      <c r="G27" s="23"/>
      <c r="H27" s="23"/>
      <c r="I27" s="23"/>
      <c r="J27" s="22"/>
      <c r="K27" s="22"/>
      <c r="L27" s="22"/>
      <c r="M27" s="23"/>
      <c r="N27" s="24"/>
      <c r="O27" s="24"/>
      <c r="P27" s="24"/>
      <c r="Q27" s="24"/>
      <c r="R27" s="25"/>
      <c r="S27" s="25"/>
      <c r="T27" s="25"/>
      <c r="U27" s="25"/>
      <c r="V27" s="25"/>
      <c r="W27" s="25"/>
      <c r="X27" s="25"/>
      <c r="Y27" s="25"/>
    </row>
    <row r="28">
      <c r="A28" s="22">
        <v>24.0</v>
      </c>
      <c r="B28" s="87" t="s">
        <v>448</v>
      </c>
      <c r="C28" s="22"/>
      <c r="D28" s="22" t="s">
        <v>160</v>
      </c>
      <c r="E28" s="24" t="str">
        <f t="shared" si="3"/>
        <v>Link to Shizuoka's miunicipality</v>
      </c>
      <c r="F28" s="23"/>
      <c r="G28" s="23"/>
      <c r="H28" s="23"/>
      <c r="I28" s="23"/>
      <c r="J28" s="22"/>
      <c r="K28" s="22"/>
      <c r="L28" s="22"/>
      <c r="M28" s="23"/>
      <c r="N28" s="24"/>
      <c r="O28" s="24"/>
      <c r="P28" s="24"/>
      <c r="Q28" s="24"/>
      <c r="R28" s="25"/>
      <c r="S28" s="25"/>
      <c r="T28" s="25"/>
      <c r="U28" s="25"/>
      <c r="V28" s="25"/>
      <c r="W28" s="25"/>
      <c r="X28" s="25"/>
      <c r="Y28" s="25"/>
    </row>
    <row r="29">
      <c r="A29" s="22">
        <v>25.0</v>
      </c>
      <c r="B29" s="87" t="s">
        <v>449</v>
      </c>
      <c r="C29" s="22"/>
      <c r="D29" s="22" t="s">
        <v>124</v>
      </c>
      <c r="E29" s="24" t="str">
        <f t="shared" si="3"/>
        <v>Link to Shizuoka's miunicipality</v>
      </c>
      <c r="F29" s="23"/>
      <c r="G29" s="23"/>
      <c r="H29" s="23"/>
      <c r="I29" s="23"/>
      <c r="J29" s="22"/>
      <c r="K29" s="22"/>
      <c r="L29" s="22"/>
      <c r="M29" s="23"/>
      <c r="N29" s="24"/>
      <c r="O29" s="24"/>
      <c r="P29" s="24"/>
      <c r="Q29" s="24"/>
      <c r="R29" s="25"/>
      <c r="S29" s="25"/>
      <c r="T29" s="25"/>
      <c r="U29" s="25"/>
      <c r="V29" s="25"/>
      <c r="W29" s="25"/>
      <c r="X29" s="25"/>
      <c r="Y29" s="25"/>
    </row>
    <row r="30">
      <c r="A30" s="29">
        <v>26.0</v>
      </c>
      <c r="B30" s="81" t="s">
        <v>450</v>
      </c>
      <c r="C30" s="29"/>
      <c r="D30" s="29" t="s">
        <v>162</v>
      </c>
      <c r="E30" s="90" t="str">
        <f>HYPERLINK("https://www.city.omaezaki.shizuoka.jp/soshiki/toshiseisaku/sumaitochi/sumai/akiya/6754.html", "Link to Shizuoka's miunicipality")</f>
        <v>Link to Shizuoka's miunicipality</v>
      </c>
      <c r="F30" s="31"/>
      <c r="G30" s="31"/>
      <c r="H30" s="31"/>
      <c r="I30" s="31"/>
      <c r="J30" s="29"/>
      <c r="K30" s="29"/>
      <c r="L30" s="29"/>
      <c r="M30" s="31"/>
      <c r="N30" s="32"/>
      <c r="O30" s="32"/>
      <c r="P30" s="32"/>
      <c r="Q30" s="32"/>
      <c r="R30" s="33"/>
      <c r="S30" s="33"/>
      <c r="T30" s="33"/>
      <c r="U30" s="33"/>
      <c r="V30" s="33"/>
      <c r="W30" s="33"/>
      <c r="X30" s="33"/>
      <c r="Y30" s="33"/>
    </row>
    <row r="31">
      <c r="A31" s="22">
        <v>27.0</v>
      </c>
      <c r="B31" s="87" t="s">
        <v>451</v>
      </c>
      <c r="C31" s="22" t="s">
        <v>452</v>
      </c>
      <c r="D31" s="22"/>
      <c r="E31" s="24" t="str">
        <f t="shared" ref="E31:E33" si="4">HYPERLINK("", "Link to Shizuoka's miunicipality")</f>
        <v>Link to Shizuoka's miunicipality</v>
      </c>
      <c r="F31" s="23"/>
      <c r="G31" s="23"/>
      <c r="H31" s="23"/>
      <c r="I31" s="23"/>
      <c r="J31" s="22"/>
      <c r="K31" s="22"/>
      <c r="L31" s="22"/>
      <c r="M31" s="23"/>
      <c r="N31" s="23"/>
      <c r="O31" s="24"/>
      <c r="P31" s="24"/>
      <c r="Q31" s="24"/>
      <c r="R31" s="25"/>
      <c r="S31" s="25"/>
      <c r="T31" s="25"/>
      <c r="U31" s="25"/>
      <c r="V31" s="25"/>
      <c r="W31" s="25"/>
      <c r="X31" s="25"/>
      <c r="Y31" s="25"/>
    </row>
    <row r="32">
      <c r="A32" s="22">
        <v>28.0</v>
      </c>
      <c r="B32" s="87" t="s">
        <v>453</v>
      </c>
      <c r="C32" s="22"/>
      <c r="D32" s="22" t="s">
        <v>160</v>
      </c>
      <c r="E32" s="24" t="str">
        <f t="shared" si="4"/>
        <v>Link to Shizuoka's miunicipality</v>
      </c>
      <c r="F32" s="23"/>
      <c r="G32" s="23"/>
      <c r="H32" s="23"/>
      <c r="I32" s="23"/>
      <c r="J32" s="22"/>
      <c r="K32" s="22"/>
      <c r="L32" s="22"/>
      <c r="M32" s="23"/>
      <c r="N32" s="23"/>
      <c r="O32" s="24"/>
      <c r="P32" s="24"/>
      <c r="Q32" s="24"/>
      <c r="R32" s="25"/>
      <c r="S32" s="25"/>
      <c r="T32" s="25"/>
      <c r="U32" s="25"/>
      <c r="V32" s="25"/>
      <c r="W32" s="25"/>
      <c r="X32" s="25"/>
      <c r="Y32" s="25"/>
    </row>
    <row r="33">
      <c r="A33" s="22">
        <v>29.0</v>
      </c>
      <c r="B33" s="87" t="s">
        <v>454</v>
      </c>
      <c r="C33" s="22"/>
      <c r="D33" s="88" t="s">
        <v>160</v>
      </c>
      <c r="E33" s="24" t="str">
        <f t="shared" si="4"/>
        <v>Link to Shizuoka's miunicipality</v>
      </c>
      <c r="F33" s="23"/>
      <c r="G33" s="23"/>
      <c r="H33" s="23"/>
      <c r="I33" s="23"/>
      <c r="J33" s="22"/>
      <c r="K33" s="22"/>
      <c r="L33" s="22"/>
      <c r="M33" s="23"/>
      <c r="N33" s="23"/>
      <c r="O33" s="24"/>
      <c r="P33" s="24"/>
      <c r="Q33" s="24"/>
      <c r="R33" s="25"/>
      <c r="S33" s="25"/>
      <c r="T33" s="25"/>
      <c r="U33" s="25"/>
      <c r="V33" s="25"/>
      <c r="W33" s="25"/>
      <c r="X33" s="25"/>
      <c r="Y33" s="25"/>
    </row>
    <row r="34">
      <c r="A34" s="29">
        <v>30.0</v>
      </c>
      <c r="B34" s="81" t="s">
        <v>455</v>
      </c>
      <c r="C34" s="29"/>
      <c r="D34" s="29" t="s">
        <v>139</v>
      </c>
      <c r="E34" s="90" t="str">
        <f>HYPERLINK("https://www.city.shizuoka.lg.jp/s7345/s000895.html", "Link to Shizuoka's miunicipality")</f>
        <v>Link to Shizuoka's miunicipality</v>
      </c>
      <c r="F34" s="31"/>
      <c r="G34" s="31"/>
      <c r="H34" s="31"/>
      <c r="I34" s="31"/>
      <c r="J34" s="29"/>
      <c r="K34" s="29"/>
      <c r="L34" s="29"/>
      <c r="M34" s="31"/>
      <c r="N34" s="31"/>
      <c r="O34" s="32"/>
      <c r="P34" s="32"/>
      <c r="Q34" s="32"/>
      <c r="R34" s="33"/>
      <c r="S34" s="33"/>
      <c r="T34" s="33"/>
      <c r="U34" s="33"/>
      <c r="V34" s="33"/>
      <c r="W34" s="33"/>
      <c r="X34" s="33"/>
      <c r="Y34" s="33"/>
    </row>
    <row r="35">
      <c r="A35" s="22">
        <v>31.0</v>
      </c>
      <c r="B35" s="87" t="s">
        <v>456</v>
      </c>
      <c r="C35" s="22"/>
      <c r="D35" s="88" t="s">
        <v>160</v>
      </c>
      <c r="E35" s="24" t="str">
        <f t="shared" ref="E35:E37" si="5">HYPERLINK("", "Link to Shizuoka's miunicipality")</f>
        <v>Link to Shizuoka's miunicipality</v>
      </c>
      <c r="F35" s="23"/>
      <c r="G35" s="23"/>
      <c r="H35" s="23"/>
      <c r="I35" s="23"/>
      <c r="J35" s="22"/>
      <c r="K35" s="22"/>
      <c r="L35" s="22"/>
      <c r="M35" s="23"/>
      <c r="N35" s="23"/>
      <c r="O35" s="24"/>
      <c r="P35" s="24"/>
      <c r="Q35" s="24"/>
      <c r="R35" s="25"/>
      <c r="S35" s="25"/>
      <c r="T35" s="25"/>
      <c r="U35" s="25"/>
      <c r="V35" s="25"/>
      <c r="W35" s="25"/>
      <c r="X35" s="25"/>
      <c r="Y35" s="25"/>
    </row>
    <row r="36">
      <c r="A36" s="22">
        <v>32.0</v>
      </c>
      <c r="B36" s="87" t="s">
        <v>457</v>
      </c>
      <c r="C36" s="22"/>
      <c r="D36" s="22" t="s">
        <v>124</v>
      </c>
      <c r="E36" s="24" t="str">
        <f t="shared" si="5"/>
        <v>Link to Shizuoka's miunicipality</v>
      </c>
      <c r="F36" s="23"/>
      <c r="G36" s="23"/>
      <c r="H36" s="23"/>
      <c r="I36" s="23"/>
      <c r="J36" s="22"/>
      <c r="K36" s="22"/>
      <c r="L36" s="22"/>
      <c r="M36" s="23"/>
      <c r="N36" s="23"/>
      <c r="O36" s="24"/>
      <c r="P36" s="24"/>
      <c r="Q36" s="24"/>
      <c r="R36" s="25"/>
      <c r="S36" s="25"/>
      <c r="T36" s="25"/>
      <c r="U36" s="25"/>
      <c r="V36" s="25"/>
      <c r="W36" s="25"/>
      <c r="X36" s="25"/>
      <c r="Y36" s="25"/>
    </row>
    <row r="37">
      <c r="A37" s="22">
        <v>33.0</v>
      </c>
      <c r="B37" s="87" t="s">
        <v>458</v>
      </c>
      <c r="C37" s="22"/>
      <c r="D37" s="22" t="s">
        <v>124</v>
      </c>
      <c r="E37" s="24" t="str">
        <f t="shared" si="5"/>
        <v>Link to Shizuoka's miunicipality</v>
      </c>
      <c r="F37" s="23"/>
      <c r="G37" s="23"/>
      <c r="H37" s="23"/>
      <c r="I37" s="23"/>
      <c r="J37" s="22"/>
      <c r="K37" s="22"/>
      <c r="L37" s="22"/>
      <c r="M37" s="23"/>
      <c r="N37" s="23"/>
      <c r="O37" s="24"/>
      <c r="P37" s="24"/>
      <c r="Q37" s="24"/>
      <c r="R37" s="25"/>
      <c r="S37" s="25"/>
      <c r="T37" s="25"/>
      <c r="U37" s="25"/>
      <c r="V37" s="25"/>
      <c r="W37" s="25"/>
      <c r="X37" s="25"/>
      <c r="Y37" s="25"/>
    </row>
    <row r="38">
      <c r="A38" s="34">
        <v>34.0</v>
      </c>
      <c r="B38" s="80" t="s">
        <v>459</v>
      </c>
      <c r="C38" s="34"/>
      <c r="D38" s="34"/>
      <c r="E38" s="89" t="str">
        <f>HYPERLINK("https://www.city.mishima.shizuoka.jp/ipn054086.html", "Link to Shizuoka's miunicipality")</f>
        <v>Link to Shizuoka's miunicipality</v>
      </c>
      <c r="F38" s="36"/>
      <c r="G38" s="36"/>
      <c r="H38" s="36"/>
      <c r="I38" s="36"/>
      <c r="J38" s="34"/>
      <c r="K38" s="34"/>
      <c r="L38" s="34"/>
      <c r="M38" s="36"/>
      <c r="N38" s="36"/>
      <c r="O38" s="37"/>
      <c r="P38" s="37"/>
      <c r="Q38" s="37"/>
      <c r="R38" s="38"/>
      <c r="S38" s="38"/>
      <c r="T38" s="38"/>
      <c r="U38" s="38"/>
      <c r="V38" s="38"/>
      <c r="W38" s="38"/>
      <c r="X38" s="38"/>
      <c r="Y38" s="38"/>
    </row>
    <row r="39">
      <c r="A39" s="22"/>
      <c r="B39" s="87" t="s">
        <v>460</v>
      </c>
      <c r="C39" s="22"/>
      <c r="D39" s="22" t="s">
        <v>124</v>
      </c>
      <c r="E39" s="24"/>
      <c r="F39" s="23"/>
      <c r="G39" s="23"/>
      <c r="H39" s="23"/>
      <c r="I39" s="23"/>
      <c r="J39" s="22"/>
      <c r="K39" s="22"/>
      <c r="L39" s="22"/>
      <c r="M39" s="23"/>
      <c r="N39" s="23"/>
      <c r="O39" s="24"/>
      <c r="P39" s="24"/>
      <c r="Q39" s="24"/>
      <c r="R39" s="25"/>
      <c r="S39" s="25"/>
      <c r="T39" s="25"/>
      <c r="U39" s="25"/>
      <c r="V39" s="25"/>
      <c r="W39" s="25"/>
      <c r="X39" s="25"/>
      <c r="Y39" s="25"/>
    </row>
    <row r="40">
      <c r="A40" s="3"/>
      <c r="B40" s="10"/>
      <c r="C40" s="3"/>
      <c r="D40" s="3"/>
      <c r="E40" s="10"/>
      <c r="F40" s="11"/>
      <c r="G40" s="11"/>
      <c r="H40" s="11"/>
      <c r="I40" s="11"/>
      <c r="J40" s="3"/>
      <c r="K40" s="3"/>
      <c r="L40" s="3"/>
      <c r="M40" s="11"/>
      <c r="N40" s="11"/>
      <c r="O40" s="10"/>
      <c r="P40" s="10"/>
      <c r="Q40" s="10"/>
    </row>
    <row r="41">
      <c r="A41" s="3"/>
      <c r="C41" s="3"/>
      <c r="D41" s="3"/>
      <c r="F41" s="11"/>
      <c r="G41" s="11"/>
      <c r="H41" s="11"/>
      <c r="I41" s="11"/>
      <c r="J41" s="3"/>
      <c r="K41" s="3"/>
      <c r="L41" s="3"/>
      <c r="M41" s="11"/>
      <c r="N41" s="11"/>
    </row>
    <row r="42">
      <c r="A42" s="3"/>
      <c r="C42" s="3"/>
      <c r="D42" s="3"/>
      <c r="F42" s="11"/>
      <c r="G42" s="11"/>
      <c r="H42" s="11"/>
      <c r="I42" s="11"/>
      <c r="J42" s="3"/>
      <c r="K42" s="3"/>
      <c r="L42" s="3"/>
      <c r="M42" s="11"/>
      <c r="N42" s="11"/>
    </row>
    <row r="43">
      <c r="A43" s="3"/>
      <c r="C43" s="3"/>
      <c r="D43" s="3"/>
      <c r="F43" s="11"/>
      <c r="G43" s="11"/>
      <c r="H43" s="11"/>
      <c r="I43" s="11"/>
      <c r="J43" s="3"/>
      <c r="K43" s="3"/>
      <c r="L43" s="3"/>
      <c r="M43" s="11"/>
      <c r="N43" s="11"/>
    </row>
    <row r="44">
      <c r="A44" s="3"/>
      <c r="C44" s="3"/>
      <c r="D44" s="3"/>
      <c r="F44" s="11"/>
      <c r="G44" s="11"/>
      <c r="H44" s="11"/>
      <c r="I44" s="11"/>
      <c r="J44" s="3"/>
      <c r="K44" s="3"/>
      <c r="L44" s="3"/>
      <c r="M44" s="11"/>
      <c r="N44" s="11"/>
    </row>
    <row r="45">
      <c r="A45" s="3"/>
      <c r="C45" s="3"/>
      <c r="D45" s="3"/>
      <c r="F45" s="11"/>
      <c r="G45" s="11"/>
      <c r="H45" s="11"/>
      <c r="I45" s="11"/>
      <c r="J45" s="3"/>
      <c r="K45" s="3"/>
      <c r="L45" s="3"/>
      <c r="M45" s="11"/>
      <c r="N45" s="11"/>
    </row>
    <row r="46">
      <c r="A46" s="3"/>
      <c r="C46" s="3"/>
      <c r="D46" s="3"/>
      <c r="F46" s="11"/>
      <c r="G46" s="11"/>
      <c r="H46" s="11"/>
      <c r="I46" s="11"/>
      <c r="J46" s="3"/>
      <c r="K46" s="3"/>
      <c r="L46" s="3"/>
      <c r="M46" s="11"/>
      <c r="N46" s="11"/>
    </row>
    <row r="47">
      <c r="A47" s="3"/>
      <c r="C47" s="3"/>
      <c r="D47" s="3"/>
      <c r="F47" s="11"/>
      <c r="G47" s="11"/>
      <c r="H47" s="11"/>
      <c r="I47" s="11"/>
      <c r="J47" s="3"/>
      <c r="K47" s="3"/>
      <c r="L47" s="3"/>
      <c r="M47" s="11"/>
      <c r="N47" s="11"/>
    </row>
    <row r="48">
      <c r="A48" s="3"/>
      <c r="C48" s="3"/>
      <c r="D48" s="3"/>
      <c r="F48" s="11"/>
      <c r="G48" s="11"/>
      <c r="H48" s="11"/>
      <c r="I48" s="11"/>
      <c r="J48" s="3"/>
      <c r="K48" s="3"/>
      <c r="L48" s="3"/>
      <c r="M48" s="11"/>
      <c r="N48" s="11"/>
    </row>
    <row r="49">
      <c r="A49" s="3"/>
      <c r="C49" s="3"/>
      <c r="D49" s="3"/>
      <c r="F49" s="11"/>
      <c r="G49" s="11"/>
      <c r="H49" s="11"/>
      <c r="I49" s="11"/>
      <c r="J49" s="3"/>
      <c r="K49" s="3"/>
      <c r="L49" s="3"/>
      <c r="M49" s="11"/>
      <c r="N49" s="11"/>
    </row>
    <row r="50">
      <c r="A50" s="3"/>
      <c r="C50" s="3"/>
      <c r="D50" s="3"/>
      <c r="F50" s="11"/>
      <c r="G50" s="11"/>
      <c r="H50" s="11"/>
      <c r="I50" s="11"/>
      <c r="J50" s="3"/>
      <c r="K50" s="3"/>
      <c r="L50" s="3"/>
      <c r="M50" s="11"/>
      <c r="N50" s="11"/>
    </row>
    <row r="51">
      <c r="A51" s="3"/>
      <c r="C51" s="3"/>
      <c r="D51" s="3"/>
      <c r="F51" s="11"/>
      <c r="G51" s="11"/>
      <c r="H51" s="11"/>
      <c r="I51" s="11"/>
      <c r="J51" s="3"/>
      <c r="K51" s="3"/>
      <c r="L51" s="3"/>
      <c r="M51" s="11"/>
      <c r="N51" s="11"/>
    </row>
    <row r="52">
      <c r="A52" s="3"/>
      <c r="C52" s="3"/>
      <c r="D52" s="3"/>
      <c r="F52" s="11"/>
      <c r="G52" s="11"/>
      <c r="H52" s="11"/>
      <c r="I52" s="11"/>
      <c r="J52" s="3"/>
      <c r="K52" s="3"/>
      <c r="L52" s="3"/>
      <c r="M52" s="11"/>
      <c r="N52" s="11"/>
    </row>
    <row r="53">
      <c r="A53" s="3"/>
      <c r="C53" s="3"/>
      <c r="D53" s="3"/>
      <c r="F53" s="11"/>
      <c r="G53" s="11"/>
      <c r="H53" s="11"/>
      <c r="I53" s="11"/>
      <c r="J53" s="3"/>
      <c r="K53" s="3"/>
      <c r="L53" s="3"/>
      <c r="M53" s="11"/>
      <c r="N53" s="11"/>
    </row>
    <row r="54">
      <c r="A54" s="3"/>
      <c r="C54" s="3"/>
      <c r="D54" s="3"/>
      <c r="F54" s="11"/>
      <c r="G54" s="11"/>
      <c r="H54" s="11"/>
      <c r="I54" s="11"/>
      <c r="J54" s="3"/>
      <c r="K54" s="3"/>
      <c r="L54" s="3"/>
      <c r="M54" s="11"/>
      <c r="N54" s="11"/>
    </row>
    <row r="55">
      <c r="A55" s="3"/>
      <c r="C55" s="3"/>
      <c r="D55" s="3"/>
      <c r="F55" s="11"/>
      <c r="G55" s="11"/>
      <c r="H55" s="11"/>
      <c r="I55" s="11"/>
      <c r="J55" s="3"/>
      <c r="K55" s="3"/>
      <c r="L55" s="3"/>
      <c r="M55" s="11"/>
      <c r="N55" s="11"/>
    </row>
    <row r="56">
      <c r="A56" s="3"/>
      <c r="C56" s="3"/>
      <c r="D56" s="3"/>
      <c r="F56" s="11"/>
      <c r="G56" s="11"/>
      <c r="H56" s="11"/>
      <c r="I56" s="11"/>
      <c r="J56" s="3"/>
      <c r="K56" s="3"/>
      <c r="L56" s="3"/>
      <c r="M56" s="11"/>
      <c r="N56" s="11"/>
    </row>
    <row r="57">
      <c r="A57" s="3"/>
      <c r="C57" s="3"/>
      <c r="D57" s="3"/>
      <c r="F57" s="11"/>
      <c r="G57" s="11"/>
      <c r="H57" s="11"/>
      <c r="I57" s="11"/>
      <c r="J57" s="3"/>
      <c r="K57" s="3"/>
      <c r="L57" s="3"/>
      <c r="M57" s="11"/>
      <c r="N57" s="11"/>
    </row>
    <row r="58">
      <c r="A58" s="3"/>
      <c r="C58" s="3"/>
      <c r="D58" s="3"/>
      <c r="F58" s="11"/>
      <c r="G58" s="11"/>
      <c r="H58" s="11"/>
      <c r="I58" s="11"/>
      <c r="J58" s="3"/>
      <c r="K58" s="3"/>
      <c r="L58" s="3"/>
      <c r="M58" s="11"/>
      <c r="N58" s="11"/>
    </row>
    <row r="59">
      <c r="A59" s="3"/>
      <c r="C59" s="3"/>
      <c r="D59" s="3"/>
      <c r="F59" s="11"/>
      <c r="G59" s="11"/>
      <c r="H59" s="11"/>
      <c r="I59" s="11"/>
      <c r="J59" s="3"/>
      <c r="K59" s="3"/>
      <c r="L59" s="3"/>
      <c r="M59" s="11"/>
      <c r="N59" s="1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13"/>
    <col customWidth="1" min="3" max="3" width="15.25"/>
    <col customWidth="1" min="4" max="4" width="26.88"/>
    <col customWidth="1" min="5" max="5" width="39.88"/>
    <col customWidth="1" min="6" max="6" width="18.25"/>
  </cols>
  <sheetData>
    <row r="2">
      <c r="A2" s="2" t="s">
        <v>422</v>
      </c>
      <c r="B2" s="2" t="s">
        <v>259</v>
      </c>
    </row>
    <row r="3">
      <c r="F3" s="3" t="s">
        <v>2</v>
      </c>
      <c r="G3" s="62"/>
    </row>
    <row r="4">
      <c r="A4" s="4" t="s">
        <v>3</v>
      </c>
      <c r="B4" s="4" t="s">
        <v>4</v>
      </c>
      <c r="C4" s="4" t="s">
        <v>5</v>
      </c>
      <c r="D4" s="4" t="s">
        <v>6</v>
      </c>
      <c r="E4" s="4" t="s">
        <v>7</v>
      </c>
      <c r="F4" s="6">
        <v>45323.0</v>
      </c>
      <c r="G4" s="6">
        <v>45352.0</v>
      </c>
      <c r="H4" s="6">
        <v>45383.0</v>
      </c>
      <c r="I4" s="6">
        <v>45413.0</v>
      </c>
      <c r="J4" s="6">
        <v>45444.0</v>
      </c>
      <c r="K4" s="6">
        <v>45474.0</v>
      </c>
      <c r="L4" s="9">
        <v>45505.0</v>
      </c>
      <c r="M4" s="11"/>
      <c r="N4" s="10"/>
      <c r="O4" s="10"/>
      <c r="P4" s="10"/>
      <c r="Q4" s="10"/>
    </row>
    <row r="5">
      <c r="A5" s="34">
        <v>1.0</v>
      </c>
      <c r="B5" s="80" t="s">
        <v>461</v>
      </c>
      <c r="C5" s="34" t="s">
        <v>375</v>
      </c>
      <c r="D5" s="93" t="s">
        <v>130</v>
      </c>
      <c r="E5" s="89" t="str">
        <f>HYPERLINK("https://www.city.higashimatsushima.miyagi.jp/kurashi/sumiyoimachini/sumai/akiya/bukkenichiran.html", "Link to Miyagi Prefecture")</f>
        <v>Link to Miyagi Prefecture</v>
      </c>
      <c r="F5" s="36"/>
      <c r="G5" s="36"/>
      <c r="H5" s="36"/>
      <c r="I5" s="36"/>
      <c r="J5" s="34"/>
      <c r="K5" s="34"/>
      <c r="L5" s="34"/>
      <c r="M5" s="36"/>
      <c r="N5" s="37"/>
      <c r="O5" s="37"/>
      <c r="P5" s="37"/>
      <c r="Q5" s="37"/>
      <c r="R5" s="38"/>
      <c r="S5" s="38"/>
      <c r="T5" s="38"/>
      <c r="U5" s="38"/>
      <c r="V5" s="38"/>
      <c r="W5" s="38"/>
      <c r="X5" s="38"/>
      <c r="Y5" s="38"/>
    </row>
    <row r="6">
      <c r="A6" s="22">
        <v>2.0</v>
      </c>
      <c r="B6" s="87" t="s">
        <v>462</v>
      </c>
      <c r="C6" s="22" t="s">
        <v>463</v>
      </c>
      <c r="D6" s="22"/>
      <c r="E6" s="91" t="str">
        <f>HYPERLINK("https://www-city-higashimatsushima-miyagi-jp.translate.goog/kurashi/sumiyoimachini/sumai/akiya/index.html?_x_tr_sl=ja&amp;_x_tr_tl=en&amp;_x_tr_hl=en&amp;_x_tr_pto=sc", "Link to Miyagi Prefecture")</f>
        <v>Link to Miyagi Prefecture</v>
      </c>
      <c r="F6" s="23"/>
      <c r="G6" s="23"/>
      <c r="H6" s="23"/>
      <c r="I6" s="23"/>
      <c r="J6" s="22"/>
      <c r="K6" s="22"/>
      <c r="L6" s="22"/>
      <c r="M6" s="23"/>
      <c r="N6" s="24"/>
      <c r="O6" s="24"/>
      <c r="P6" s="24"/>
      <c r="Q6" s="24"/>
      <c r="R6" s="25"/>
      <c r="S6" s="25"/>
      <c r="T6" s="25"/>
      <c r="U6" s="25"/>
      <c r="V6" s="25"/>
      <c r="W6" s="25"/>
      <c r="X6" s="25"/>
      <c r="Y6" s="25"/>
    </row>
    <row r="7">
      <c r="A7" s="22">
        <v>3.0</v>
      </c>
      <c r="B7" s="87" t="s">
        <v>464</v>
      </c>
      <c r="C7" s="22" t="s">
        <v>463</v>
      </c>
      <c r="D7" s="22"/>
      <c r="E7" s="24"/>
      <c r="F7" s="23"/>
      <c r="G7" s="23"/>
      <c r="H7" s="23"/>
      <c r="I7" s="23"/>
      <c r="J7" s="22"/>
      <c r="K7" s="22"/>
      <c r="L7" s="22"/>
      <c r="M7" s="23"/>
      <c r="N7" s="24"/>
      <c r="O7" s="24"/>
      <c r="P7" s="24"/>
      <c r="Q7" s="24"/>
      <c r="R7" s="25"/>
      <c r="S7" s="25"/>
      <c r="T7" s="25"/>
      <c r="U7" s="25"/>
      <c r="V7" s="25"/>
      <c r="W7" s="25"/>
      <c r="X7" s="25"/>
      <c r="Y7" s="25"/>
    </row>
    <row r="8">
      <c r="A8" s="22">
        <v>4.0</v>
      </c>
      <c r="B8" s="87" t="s">
        <v>465</v>
      </c>
      <c r="C8" s="22" t="s">
        <v>375</v>
      </c>
      <c r="D8" s="22" t="s">
        <v>290</v>
      </c>
      <c r="E8" s="91" t="str">
        <f>HYPERLINK("https://www.city.kakuda.lg.jp/soshiki/4/418.html", "Link to Miyagi Prefecture")</f>
        <v>Link to Miyagi Prefecture</v>
      </c>
      <c r="F8" s="23"/>
      <c r="G8" s="23"/>
      <c r="H8" s="23"/>
      <c r="I8" s="23"/>
      <c r="J8" s="22"/>
      <c r="K8" s="22"/>
      <c r="L8" s="22"/>
      <c r="M8" s="23"/>
      <c r="N8" s="24"/>
      <c r="O8" s="24"/>
      <c r="P8" s="24"/>
      <c r="Q8" s="24"/>
      <c r="R8" s="25"/>
      <c r="S8" s="25"/>
      <c r="T8" s="25"/>
      <c r="U8" s="25"/>
      <c r="V8" s="25"/>
      <c r="W8" s="25"/>
      <c r="X8" s="25"/>
      <c r="Y8" s="25"/>
    </row>
    <row r="9">
      <c r="A9" s="34">
        <v>5.0</v>
      </c>
      <c r="B9" s="80" t="s">
        <v>466</v>
      </c>
      <c r="C9" s="34" t="s">
        <v>375</v>
      </c>
      <c r="D9" s="34" t="s">
        <v>130</v>
      </c>
      <c r="E9" s="89" t="str">
        <f>HYPERLINK("https://kami-akiyabank.com/", "Link to Miyagi Prefecture")</f>
        <v>Link to Miyagi Prefecture</v>
      </c>
      <c r="F9" s="34"/>
      <c r="G9" s="36"/>
      <c r="H9" s="36"/>
      <c r="I9" s="36"/>
      <c r="J9" s="34"/>
      <c r="K9" s="34"/>
      <c r="L9" s="34"/>
      <c r="M9" s="36"/>
      <c r="N9" s="37"/>
      <c r="O9" s="37"/>
      <c r="P9" s="37"/>
      <c r="Q9" s="37"/>
      <c r="R9" s="38"/>
      <c r="S9" s="38"/>
      <c r="T9" s="38"/>
      <c r="U9" s="38"/>
      <c r="V9" s="38"/>
      <c r="W9" s="38"/>
      <c r="X9" s="38"/>
      <c r="Y9" s="38"/>
    </row>
    <row r="10">
      <c r="A10" s="22">
        <v>6.0</v>
      </c>
      <c r="B10" s="87" t="s">
        <v>219</v>
      </c>
      <c r="C10" s="22" t="s">
        <v>375</v>
      </c>
      <c r="D10" s="22" t="s">
        <v>290</v>
      </c>
      <c r="E10" s="94" t="s">
        <v>467</v>
      </c>
      <c r="F10" s="23"/>
      <c r="G10" s="23"/>
      <c r="H10" s="23"/>
      <c r="I10" s="23"/>
      <c r="J10" s="22"/>
      <c r="K10" s="22"/>
      <c r="L10" s="22"/>
      <c r="M10" s="23"/>
      <c r="N10" s="24"/>
      <c r="O10" s="24"/>
      <c r="P10" s="24"/>
      <c r="Q10" s="24"/>
      <c r="R10" s="25"/>
      <c r="S10" s="25"/>
      <c r="T10" s="25"/>
      <c r="U10" s="25"/>
      <c r="V10" s="25"/>
      <c r="W10" s="25"/>
      <c r="X10" s="25"/>
      <c r="Y10" s="25"/>
    </row>
    <row r="11">
      <c r="A11" s="29">
        <v>7.0</v>
      </c>
      <c r="B11" s="81" t="s">
        <v>468</v>
      </c>
      <c r="C11" s="29" t="s">
        <v>375</v>
      </c>
      <c r="D11" s="29" t="s">
        <v>469</v>
      </c>
      <c r="E11" s="90" t="str">
        <f>HYPERLINK("https://www.minato-kesennuma.com/akiya/", "Link to Miyagi Prefecture")</f>
        <v>Link to Miyagi Prefecture</v>
      </c>
      <c r="F11" s="31"/>
      <c r="G11" s="31"/>
      <c r="H11" s="31"/>
      <c r="I11" s="31"/>
      <c r="J11" s="29"/>
      <c r="K11" s="29"/>
      <c r="L11" s="29"/>
      <c r="M11" s="31"/>
      <c r="N11" s="32"/>
      <c r="O11" s="32"/>
      <c r="P11" s="32"/>
      <c r="Q11" s="32"/>
      <c r="R11" s="33"/>
      <c r="S11" s="33"/>
      <c r="T11" s="33"/>
      <c r="U11" s="33"/>
      <c r="V11" s="33"/>
      <c r="W11" s="33"/>
      <c r="X11" s="33"/>
      <c r="Y11" s="33"/>
    </row>
    <row r="12">
      <c r="A12" s="34">
        <v>8.0</v>
      </c>
      <c r="B12" s="80" t="s">
        <v>470</v>
      </c>
      <c r="C12" s="34" t="s">
        <v>375</v>
      </c>
      <c r="D12" s="34" t="s">
        <v>130</v>
      </c>
      <c r="E12" s="89" t="str">
        <f>HYPERLINK("https://www.kuriharacity.jp/welcome/li/100/all.html", "Link to Miyagi Prefecture")</f>
        <v>Link to Miyagi Prefecture</v>
      </c>
      <c r="F12" s="36"/>
      <c r="G12" s="36"/>
      <c r="H12" s="36"/>
      <c r="I12" s="36"/>
      <c r="J12" s="34"/>
      <c r="K12" s="34"/>
      <c r="L12" s="34"/>
      <c r="M12" s="36"/>
      <c r="N12" s="37"/>
      <c r="O12" s="37"/>
      <c r="P12" s="37"/>
      <c r="Q12" s="37"/>
      <c r="R12" s="38"/>
      <c r="S12" s="38"/>
      <c r="T12" s="38"/>
      <c r="U12" s="38"/>
      <c r="V12" s="38"/>
      <c r="W12" s="38"/>
      <c r="X12" s="38"/>
      <c r="Y12" s="38"/>
    </row>
    <row r="13">
      <c r="A13" s="22">
        <v>9.0</v>
      </c>
      <c r="B13" s="87" t="s">
        <v>471</v>
      </c>
      <c r="C13" s="22" t="s">
        <v>375</v>
      </c>
      <c r="D13" s="22" t="s">
        <v>290</v>
      </c>
      <c r="E13" s="91" t="str">
        <f>HYPERLINK("https://ju-pita.com/akiyabank-2", "Link to Miyagi Prefecture")</f>
        <v>Link to Miyagi Prefecture</v>
      </c>
      <c r="F13" s="23"/>
      <c r="G13" s="23"/>
      <c r="H13" s="23"/>
      <c r="I13" s="23"/>
      <c r="J13" s="22"/>
      <c r="K13" s="22"/>
      <c r="L13" s="22"/>
      <c r="M13" s="23"/>
      <c r="N13" s="24"/>
      <c r="O13" s="24"/>
      <c r="P13" s="24"/>
      <c r="Q13" s="24"/>
      <c r="R13" s="25"/>
      <c r="S13" s="25"/>
      <c r="T13" s="25"/>
      <c r="U13" s="25"/>
      <c r="V13" s="25"/>
      <c r="W13" s="25"/>
      <c r="X13" s="25"/>
      <c r="Y13" s="25"/>
    </row>
    <row r="14">
      <c r="A14" s="22">
        <v>10.0</v>
      </c>
      <c r="B14" s="87" t="s">
        <v>472</v>
      </c>
      <c r="C14" s="22" t="s">
        <v>375</v>
      </c>
      <c r="D14" s="22" t="s">
        <v>290</v>
      </c>
      <c r="E14" s="91" t="str">
        <f>HYPERLINK("https://www.town.miyagi-matsushima.lg.jp/index.cfm/6,23000,79,html", "Link to Miyagi Prefecture")</f>
        <v>Link to Miyagi Prefecture</v>
      </c>
      <c r="F14" s="23"/>
      <c r="G14" s="23"/>
      <c r="H14" s="23"/>
      <c r="I14" s="23"/>
      <c r="J14" s="22"/>
      <c r="K14" s="22"/>
      <c r="L14" s="22"/>
      <c r="M14" s="23"/>
      <c r="N14" s="24"/>
      <c r="O14" s="24"/>
      <c r="P14" s="24"/>
      <c r="Q14" s="24"/>
      <c r="R14" s="25"/>
      <c r="S14" s="25"/>
      <c r="T14" s="25"/>
      <c r="U14" s="25"/>
      <c r="V14" s="25"/>
      <c r="W14" s="25"/>
      <c r="X14" s="25"/>
      <c r="Y14" s="25"/>
    </row>
    <row r="15">
      <c r="A15" s="29">
        <v>11.0</v>
      </c>
      <c r="B15" s="81" t="s">
        <v>473</v>
      </c>
      <c r="C15" s="29" t="s">
        <v>375</v>
      </c>
      <c r="D15" s="29" t="s">
        <v>469</v>
      </c>
      <c r="E15" s="90" t="str">
        <f>HYPERLINK("https://www.town.minamisanriku.miyagi.jp/index.cfm/7,15025,110,425,html", "Link to Miyagi Prefecture")</f>
        <v>Link to Miyagi Prefecture</v>
      </c>
      <c r="F15" s="31"/>
      <c r="G15" s="31"/>
      <c r="H15" s="31"/>
      <c r="I15" s="31"/>
      <c r="J15" s="29"/>
      <c r="K15" s="29"/>
      <c r="L15" s="29"/>
      <c r="M15" s="31"/>
      <c r="N15" s="32"/>
      <c r="O15" s="32"/>
      <c r="P15" s="32"/>
      <c r="Q15" s="32"/>
      <c r="R15" s="33"/>
      <c r="S15" s="33"/>
      <c r="T15" s="33"/>
      <c r="U15" s="33"/>
      <c r="V15" s="33"/>
      <c r="W15" s="33"/>
      <c r="X15" s="33"/>
      <c r="Y15" s="33"/>
    </row>
    <row r="16">
      <c r="A16" s="29">
        <v>12.0</v>
      </c>
      <c r="B16" s="81" t="s">
        <v>474</v>
      </c>
      <c r="C16" s="29" t="s">
        <v>375</v>
      </c>
      <c r="D16" s="29" t="s">
        <v>469</v>
      </c>
      <c r="E16" s="90" t="str">
        <f>HYPERLINK("https://www.town.misato.miyagi.jp/07kurashi/2015-0825-1447-47.html", "Link to Miyagi Prefecture")</f>
        <v>Link to Miyagi Prefecture</v>
      </c>
      <c r="F16" s="31"/>
      <c r="G16" s="31"/>
      <c r="H16" s="31"/>
      <c r="I16" s="31"/>
      <c r="J16" s="29"/>
      <c r="K16" s="29"/>
      <c r="L16" s="29"/>
      <c r="M16" s="31"/>
      <c r="N16" s="32"/>
      <c r="O16" s="32"/>
      <c r="P16" s="32"/>
      <c r="Q16" s="32"/>
      <c r="R16" s="33"/>
      <c r="S16" s="33"/>
      <c r="T16" s="33"/>
      <c r="U16" s="33"/>
      <c r="V16" s="33"/>
      <c r="W16" s="33"/>
      <c r="X16" s="33"/>
      <c r="Y16" s="33"/>
    </row>
    <row r="17">
      <c r="A17" s="22">
        <v>13.0</v>
      </c>
      <c r="B17" s="87" t="s">
        <v>475</v>
      </c>
      <c r="C17" s="22" t="s">
        <v>375</v>
      </c>
      <c r="D17" s="22" t="s">
        <v>290</v>
      </c>
      <c r="E17" s="91" t="str">
        <f>HYPERLINK("https://www.town.murata.miyagi.jp/kurashi/tochi/akiya/touroku/index.html#page_top", "Link to Miyagi Prefecture")</f>
        <v>Link to Miyagi Prefecture</v>
      </c>
      <c r="F17" s="23"/>
      <c r="G17" s="23"/>
      <c r="H17" s="23"/>
      <c r="I17" s="23"/>
      <c r="J17" s="22"/>
      <c r="K17" s="22"/>
      <c r="L17" s="22"/>
      <c r="M17" s="23"/>
      <c r="N17" s="24"/>
      <c r="O17" s="24"/>
      <c r="P17" s="24"/>
      <c r="Q17" s="24"/>
      <c r="R17" s="25"/>
      <c r="S17" s="25"/>
      <c r="T17" s="25"/>
      <c r="U17" s="25"/>
      <c r="V17" s="25"/>
      <c r="W17" s="25"/>
      <c r="X17" s="25"/>
      <c r="Y17" s="25"/>
    </row>
    <row r="18">
      <c r="A18" s="22">
        <v>14.0</v>
      </c>
      <c r="B18" s="87" t="s">
        <v>476</v>
      </c>
      <c r="C18" s="22" t="s">
        <v>463</v>
      </c>
      <c r="D18" s="88"/>
      <c r="E18" s="24"/>
      <c r="F18" s="23"/>
      <c r="G18" s="23"/>
      <c r="H18" s="23"/>
      <c r="I18" s="23"/>
      <c r="J18" s="22"/>
      <c r="K18" s="22"/>
      <c r="L18" s="22"/>
      <c r="M18" s="23"/>
      <c r="N18" s="24"/>
      <c r="O18" s="24"/>
      <c r="P18" s="24"/>
      <c r="Q18" s="24"/>
      <c r="R18" s="25"/>
      <c r="S18" s="25"/>
      <c r="T18" s="25"/>
      <c r="U18" s="25"/>
      <c r="V18" s="25"/>
      <c r="W18" s="25"/>
      <c r="X18" s="25"/>
      <c r="Y18" s="25"/>
    </row>
    <row r="19">
      <c r="A19" s="29">
        <v>15.0</v>
      </c>
      <c r="B19" s="81" t="s">
        <v>477</v>
      </c>
      <c r="C19" s="29" t="s">
        <v>375</v>
      </c>
      <c r="D19" s="92" t="s">
        <v>469</v>
      </c>
      <c r="E19" s="90" t="str">
        <f>HYPERLINK("https://www.town.onagawa.miyagi.jp/onagawa_akiya.html", "Link to Miyagi Prefecture")</f>
        <v>Link to Miyagi Prefecture</v>
      </c>
      <c r="F19" s="31"/>
      <c r="G19" s="31"/>
      <c r="H19" s="31"/>
      <c r="I19" s="31"/>
      <c r="J19" s="29"/>
      <c r="K19" s="29"/>
      <c r="L19" s="29"/>
      <c r="M19" s="31"/>
      <c r="N19" s="32"/>
      <c r="O19" s="32"/>
      <c r="P19" s="32"/>
      <c r="Q19" s="32"/>
      <c r="R19" s="33"/>
      <c r="S19" s="33"/>
      <c r="T19" s="33"/>
      <c r="U19" s="33"/>
      <c r="V19" s="33"/>
      <c r="W19" s="33"/>
      <c r="X19" s="33"/>
      <c r="Y19" s="33"/>
    </row>
    <row r="20">
      <c r="A20" s="22">
        <v>16.0</v>
      </c>
      <c r="B20" s="87" t="s">
        <v>478</v>
      </c>
      <c r="C20" s="22" t="s">
        <v>463</v>
      </c>
      <c r="D20" s="88"/>
      <c r="E20" s="24"/>
      <c r="F20" s="23"/>
      <c r="G20" s="23"/>
      <c r="H20" s="23"/>
      <c r="I20" s="23"/>
      <c r="J20" s="22"/>
      <c r="K20" s="22"/>
      <c r="L20" s="22"/>
      <c r="M20" s="23"/>
      <c r="N20" s="24"/>
      <c r="O20" s="24"/>
      <c r="P20" s="24"/>
      <c r="Q20" s="24"/>
      <c r="R20" s="25"/>
      <c r="S20" s="25"/>
      <c r="T20" s="25"/>
      <c r="U20" s="25"/>
      <c r="V20" s="25"/>
      <c r="W20" s="25"/>
      <c r="X20" s="25"/>
      <c r="Y20" s="25"/>
    </row>
    <row r="21">
      <c r="A21" s="22">
        <v>17.0</v>
      </c>
      <c r="B21" s="87" t="s">
        <v>479</v>
      </c>
      <c r="C21" s="22" t="s">
        <v>463</v>
      </c>
      <c r="D21" s="22"/>
      <c r="E21" s="24"/>
      <c r="F21" s="23"/>
      <c r="G21" s="23"/>
      <c r="H21" s="23"/>
      <c r="I21" s="23"/>
      <c r="J21" s="22"/>
      <c r="K21" s="22"/>
      <c r="L21" s="22"/>
      <c r="M21" s="23"/>
      <c r="N21" s="24"/>
      <c r="O21" s="24"/>
      <c r="P21" s="24"/>
      <c r="Q21" s="24"/>
      <c r="R21" s="25"/>
      <c r="S21" s="25"/>
      <c r="T21" s="25"/>
      <c r="U21" s="25"/>
      <c r="V21" s="25"/>
      <c r="W21" s="25"/>
      <c r="X21" s="25"/>
      <c r="Y21" s="25"/>
    </row>
    <row r="22">
      <c r="A22" s="22">
        <v>18.0</v>
      </c>
      <c r="B22" s="87" t="s">
        <v>480</v>
      </c>
      <c r="C22" s="22" t="s">
        <v>463</v>
      </c>
      <c r="D22" s="88"/>
      <c r="E22" s="24"/>
      <c r="F22" s="23"/>
      <c r="G22" s="23"/>
      <c r="H22" s="23"/>
      <c r="I22" s="23"/>
      <c r="J22" s="22"/>
      <c r="K22" s="22"/>
      <c r="L22" s="22"/>
      <c r="M22" s="23"/>
      <c r="N22" s="24"/>
      <c r="O22" s="24"/>
      <c r="P22" s="24"/>
      <c r="Q22" s="24"/>
      <c r="R22" s="25"/>
      <c r="S22" s="25"/>
      <c r="T22" s="25"/>
      <c r="U22" s="25"/>
      <c r="V22" s="25"/>
      <c r="W22" s="25"/>
      <c r="X22" s="25"/>
      <c r="Y22" s="25"/>
    </row>
    <row r="23">
      <c r="A23" s="29">
        <v>19.0</v>
      </c>
      <c r="B23" s="81" t="s">
        <v>481</v>
      </c>
      <c r="C23" s="29" t="s">
        <v>375</v>
      </c>
      <c r="D23" s="29" t="s">
        <v>469</v>
      </c>
      <c r="E23" s="90" t="str">
        <f>HYPERLINK("https://www.shichigahama.com/benricho/oshirase/sanka3-100-8734.html", "Link to Miyagi Prefecture")</f>
        <v>Link to Miyagi Prefecture</v>
      </c>
      <c r="F23" s="31"/>
      <c r="G23" s="31"/>
      <c r="H23" s="31"/>
      <c r="I23" s="31"/>
      <c r="J23" s="29"/>
      <c r="K23" s="29"/>
      <c r="L23" s="29"/>
      <c r="M23" s="31"/>
      <c r="N23" s="32"/>
      <c r="O23" s="32"/>
      <c r="P23" s="32"/>
      <c r="Q23" s="32"/>
      <c r="R23" s="33"/>
      <c r="S23" s="33"/>
      <c r="T23" s="33"/>
      <c r="U23" s="33"/>
      <c r="V23" s="33"/>
      <c r="W23" s="33"/>
      <c r="X23" s="33"/>
      <c r="Y23" s="33"/>
    </row>
    <row r="24">
      <c r="A24" s="22">
        <v>20.0</v>
      </c>
      <c r="B24" s="87" t="s">
        <v>482</v>
      </c>
      <c r="C24" s="22" t="s">
        <v>375</v>
      </c>
      <c r="D24" s="22" t="s">
        <v>290</v>
      </c>
      <c r="E24" s="91" t="str">
        <f>HYPERLINK("https://town.shichikashuku.miyagi.jp/its/kurashi/bank_list.html", "Link to Miyagi Prefecture")</f>
        <v>Link to Miyagi Prefecture</v>
      </c>
      <c r="F24" s="23"/>
      <c r="G24" s="23"/>
      <c r="H24" s="23"/>
      <c r="I24" s="23"/>
      <c r="J24" s="22"/>
      <c r="K24" s="22"/>
      <c r="L24" s="22"/>
      <c r="M24" s="23"/>
      <c r="N24" s="24"/>
      <c r="O24" s="24"/>
      <c r="P24" s="24"/>
      <c r="Q24" s="24"/>
      <c r="R24" s="25"/>
      <c r="S24" s="25"/>
      <c r="T24" s="25"/>
      <c r="U24" s="25"/>
      <c r="V24" s="25"/>
      <c r="W24" s="25"/>
      <c r="X24" s="25"/>
      <c r="Y24" s="25"/>
    </row>
    <row r="25">
      <c r="A25" s="22">
        <v>21.0</v>
      </c>
      <c r="B25" s="87" t="s">
        <v>483</v>
      </c>
      <c r="C25" s="22" t="s">
        <v>375</v>
      </c>
      <c r="D25" s="22" t="s">
        <v>290</v>
      </c>
      <c r="E25" s="91" t="str">
        <f>HYPERLINK("https://www.town.shikama.miyagi.jp/soshiki/kikaku_joho/9/621.html", "Link to Miyagi Prefecture")</f>
        <v>Link to Miyagi Prefecture</v>
      </c>
      <c r="F25" s="23"/>
      <c r="G25" s="22"/>
      <c r="H25" s="23"/>
      <c r="I25" s="23"/>
      <c r="J25" s="22"/>
      <c r="K25" s="22"/>
      <c r="L25" s="22"/>
      <c r="M25" s="23"/>
      <c r="N25" s="24"/>
      <c r="O25" s="24"/>
      <c r="P25" s="24"/>
      <c r="Q25" s="24"/>
      <c r="R25" s="25"/>
      <c r="S25" s="25"/>
      <c r="T25" s="25"/>
      <c r="U25" s="25"/>
      <c r="V25" s="25"/>
      <c r="W25" s="25"/>
      <c r="X25" s="25"/>
      <c r="Y25" s="25"/>
    </row>
    <row r="26">
      <c r="A26" s="22">
        <v>22.0</v>
      </c>
      <c r="B26" s="87" t="s">
        <v>484</v>
      </c>
      <c r="C26" s="22" t="s">
        <v>375</v>
      </c>
      <c r="D26" s="22" t="s">
        <v>290</v>
      </c>
      <c r="E26" s="91" t="str">
        <f>HYPERLINK("https://www.city.shiogama.miyagi.jp/soshiki/21/6805.html", "Link to Miyagi Prefecture")</f>
        <v>Link to Miyagi Prefecture</v>
      </c>
      <c r="F26" s="23"/>
      <c r="G26" s="23"/>
      <c r="H26" s="23"/>
      <c r="I26" s="23"/>
      <c r="J26" s="22"/>
      <c r="K26" s="22"/>
      <c r="L26" s="22"/>
      <c r="M26" s="23"/>
      <c r="N26" s="24"/>
      <c r="O26" s="24"/>
      <c r="P26" s="24"/>
      <c r="Q26" s="24"/>
      <c r="R26" s="25"/>
      <c r="S26" s="25"/>
      <c r="T26" s="25"/>
      <c r="U26" s="25"/>
      <c r="V26" s="25"/>
      <c r="W26" s="25"/>
      <c r="X26" s="25"/>
      <c r="Y26" s="25"/>
    </row>
    <row r="27">
      <c r="A27" s="34">
        <v>23.0</v>
      </c>
      <c r="B27" s="80" t="s">
        <v>485</v>
      </c>
      <c r="C27" s="34" t="s">
        <v>375</v>
      </c>
      <c r="D27" s="34" t="s">
        <v>130</v>
      </c>
      <c r="E27" s="89" t="str">
        <f>HYPERLINK("https://109-one.com/akiya_bank.php", "Link to Miyagi Prefecture")</f>
        <v>Link to Miyagi Prefecture</v>
      </c>
      <c r="F27" s="36"/>
      <c r="G27" s="36"/>
      <c r="H27" s="36"/>
      <c r="I27" s="36"/>
      <c r="J27" s="34"/>
      <c r="K27" s="34"/>
      <c r="L27" s="34"/>
      <c r="M27" s="36"/>
      <c r="N27" s="37"/>
      <c r="O27" s="37"/>
      <c r="P27" s="37"/>
      <c r="Q27" s="37"/>
      <c r="R27" s="38"/>
      <c r="S27" s="38"/>
      <c r="T27" s="38"/>
      <c r="U27" s="38"/>
      <c r="V27" s="38"/>
      <c r="W27" s="38"/>
      <c r="X27" s="38"/>
      <c r="Y27" s="38"/>
    </row>
    <row r="28">
      <c r="A28" s="22">
        <v>24.0</v>
      </c>
      <c r="B28" s="87" t="s">
        <v>486</v>
      </c>
      <c r="C28" s="22" t="s">
        <v>375</v>
      </c>
      <c r="D28" s="22" t="s">
        <v>290</v>
      </c>
      <c r="E28" s="91" t="str">
        <f>HYPERLINK("https://www.city.tagajo.miyagi.jp/kurashi/akiya/akiyabank/index.html", "Link to Miyagi Prefecture")</f>
        <v>Link to Miyagi Prefecture</v>
      </c>
      <c r="F28" s="23"/>
      <c r="G28" s="23"/>
      <c r="H28" s="23"/>
      <c r="I28" s="23"/>
      <c r="J28" s="22"/>
      <c r="K28" s="22"/>
      <c r="L28" s="22"/>
      <c r="M28" s="23"/>
      <c r="N28" s="24"/>
      <c r="O28" s="24"/>
      <c r="P28" s="24"/>
      <c r="Q28" s="24"/>
      <c r="R28" s="25"/>
      <c r="S28" s="25"/>
      <c r="T28" s="25"/>
      <c r="U28" s="25"/>
      <c r="V28" s="25"/>
      <c r="W28" s="25"/>
      <c r="X28" s="25"/>
      <c r="Y28" s="25"/>
    </row>
    <row r="29">
      <c r="A29" s="29">
        <v>25.0</v>
      </c>
      <c r="B29" s="81" t="s">
        <v>487</v>
      </c>
      <c r="C29" s="29" t="s">
        <v>375</v>
      </c>
      <c r="D29" s="29" t="s">
        <v>469</v>
      </c>
      <c r="E29" s="90" t="str">
        <f>HYPERLINK("https://www.town.taiwa.miyagi.jp/kurashi/sumai/iju_teju/1/2371.html", "Link to Miyagi Prefecture")</f>
        <v>Link to Miyagi Prefecture</v>
      </c>
      <c r="F29" s="31"/>
      <c r="G29" s="31"/>
      <c r="H29" s="31"/>
      <c r="I29" s="31"/>
      <c r="J29" s="29"/>
      <c r="K29" s="29"/>
      <c r="L29" s="29"/>
      <c r="M29" s="31"/>
      <c r="N29" s="32"/>
      <c r="O29" s="32"/>
      <c r="P29" s="32"/>
      <c r="Q29" s="32"/>
      <c r="R29" s="33"/>
      <c r="S29" s="33"/>
      <c r="T29" s="33"/>
      <c r="U29" s="33"/>
      <c r="V29" s="33"/>
      <c r="W29" s="33"/>
      <c r="X29" s="33"/>
      <c r="Y29" s="33"/>
    </row>
    <row r="30">
      <c r="A30" s="29">
        <v>26.0</v>
      </c>
      <c r="B30" s="81" t="s">
        <v>488</v>
      </c>
      <c r="C30" s="29" t="s">
        <v>375</v>
      </c>
      <c r="D30" s="29" t="s">
        <v>469</v>
      </c>
      <c r="E30" s="90" t="str">
        <f>HYPERLINK("https://www.city.tome.miyagi.jp/machi/shisejoho/ijuteju/bank/akiyabank/index.html", "Link to Miyagi Prefecture")</f>
        <v>Link to Miyagi Prefecture</v>
      </c>
      <c r="F30" s="31"/>
      <c r="G30" s="31"/>
      <c r="H30" s="31"/>
      <c r="I30" s="31"/>
      <c r="J30" s="29"/>
      <c r="K30" s="29"/>
      <c r="L30" s="29"/>
      <c r="M30" s="31"/>
      <c r="N30" s="32"/>
      <c r="O30" s="32"/>
      <c r="P30" s="32"/>
      <c r="Q30" s="32"/>
      <c r="R30" s="33"/>
      <c r="S30" s="33"/>
      <c r="T30" s="33"/>
      <c r="U30" s="33"/>
      <c r="V30" s="33"/>
      <c r="W30" s="33"/>
      <c r="X30" s="33"/>
      <c r="Y30" s="33"/>
    </row>
    <row r="31">
      <c r="A31" s="22">
        <v>27.0</v>
      </c>
      <c r="B31" s="87" t="s">
        <v>489</v>
      </c>
      <c r="C31" s="22" t="s">
        <v>463</v>
      </c>
      <c r="D31" s="22"/>
      <c r="E31" s="24"/>
      <c r="F31" s="23"/>
      <c r="G31" s="23"/>
      <c r="H31" s="23"/>
      <c r="I31" s="23"/>
      <c r="J31" s="22"/>
      <c r="K31" s="22"/>
      <c r="L31" s="22"/>
      <c r="M31" s="23"/>
      <c r="N31" s="23"/>
      <c r="O31" s="24"/>
      <c r="P31" s="24"/>
      <c r="Q31" s="24"/>
      <c r="R31" s="25"/>
      <c r="S31" s="25"/>
      <c r="T31" s="25"/>
      <c r="U31" s="25"/>
      <c r="V31" s="25"/>
      <c r="W31" s="25"/>
      <c r="X31" s="25"/>
      <c r="Y31" s="25"/>
    </row>
    <row r="32">
      <c r="A32" s="29">
        <v>28.0</v>
      </c>
      <c r="B32" s="81" t="s">
        <v>490</v>
      </c>
      <c r="C32" s="29" t="s">
        <v>375</v>
      </c>
      <c r="D32" s="29" t="s">
        <v>469</v>
      </c>
      <c r="E32" s="90" t="str">
        <f>HYPERLINK("https://www.town.wakuya.miyagi.jp/kurashi/sekatsu/akiya/akiyabank.html", "Link to Miyagi Prefecture")</f>
        <v>Link to Miyagi Prefecture</v>
      </c>
      <c r="F32" s="29"/>
      <c r="G32" s="31"/>
      <c r="H32" s="31"/>
      <c r="I32" s="31"/>
      <c r="J32" s="29"/>
      <c r="K32" s="29"/>
      <c r="L32" s="29"/>
      <c r="M32" s="31"/>
      <c r="N32" s="31"/>
      <c r="O32" s="32"/>
      <c r="P32" s="32"/>
      <c r="Q32" s="32"/>
      <c r="R32" s="33"/>
      <c r="S32" s="33"/>
      <c r="T32" s="33"/>
      <c r="U32" s="33"/>
      <c r="V32" s="33"/>
      <c r="W32" s="33"/>
      <c r="X32" s="33"/>
      <c r="Y32" s="33"/>
    </row>
    <row r="33">
      <c r="A33" s="22">
        <v>29.0</v>
      </c>
      <c r="B33" s="87" t="s">
        <v>491</v>
      </c>
      <c r="C33" s="22" t="s">
        <v>375</v>
      </c>
      <c r="D33" s="88" t="s">
        <v>290</v>
      </c>
      <c r="E33" s="91" t="str">
        <f>HYPERLINK("https://www.town.watari.miyagi.jp/", "Link to Miyagi Prefecture")</f>
        <v>Link to Miyagi Prefecture</v>
      </c>
      <c r="F33" s="23"/>
      <c r="G33" s="23"/>
      <c r="H33" s="23"/>
      <c r="I33" s="23"/>
      <c r="J33" s="22"/>
      <c r="K33" s="22"/>
      <c r="L33" s="22"/>
      <c r="M33" s="23"/>
      <c r="N33" s="23"/>
      <c r="O33" s="24"/>
      <c r="P33" s="24"/>
      <c r="Q33" s="24"/>
      <c r="R33" s="25"/>
      <c r="S33" s="25"/>
      <c r="T33" s="25"/>
      <c r="U33" s="25"/>
      <c r="V33" s="25"/>
      <c r="W33" s="25"/>
      <c r="X33" s="25"/>
      <c r="Y33" s="25"/>
    </row>
    <row r="34">
      <c r="A34" s="29">
        <v>30.0</v>
      </c>
      <c r="B34" s="81" t="s">
        <v>492</v>
      </c>
      <c r="C34" s="29" t="s">
        <v>375</v>
      </c>
      <c r="D34" s="29" t="s">
        <v>493</v>
      </c>
      <c r="E34" s="90" t="str">
        <f>HYPERLINK("https://www.town.yamamoto.miyagi.jp/soshiki/32/82.html", "Link to Miyagi Prefecture")</f>
        <v>Link to Miyagi Prefecture</v>
      </c>
      <c r="F34" s="31"/>
      <c r="G34" s="31"/>
      <c r="H34" s="31"/>
      <c r="I34" s="31"/>
      <c r="J34" s="29"/>
      <c r="K34" s="29"/>
      <c r="L34" s="29"/>
      <c r="M34" s="31"/>
      <c r="N34" s="31"/>
      <c r="O34" s="32"/>
      <c r="P34" s="32"/>
      <c r="Q34" s="32"/>
      <c r="R34" s="33"/>
      <c r="S34" s="33"/>
      <c r="T34" s="33"/>
      <c r="U34" s="33"/>
      <c r="V34" s="33"/>
      <c r="W34" s="33"/>
      <c r="X34" s="33"/>
      <c r="Y34" s="33"/>
    </row>
    <row r="35">
      <c r="A35" s="22">
        <v>31.0</v>
      </c>
      <c r="B35" s="87" t="s">
        <v>494</v>
      </c>
      <c r="C35" s="22" t="s">
        <v>463</v>
      </c>
      <c r="D35" s="88"/>
      <c r="E35" s="24"/>
      <c r="F35" s="23"/>
      <c r="G35" s="23"/>
      <c r="H35" s="23"/>
      <c r="I35" s="23"/>
      <c r="J35" s="22"/>
      <c r="K35" s="22"/>
      <c r="L35" s="22"/>
      <c r="M35" s="23"/>
      <c r="N35" s="23"/>
      <c r="O35" s="24"/>
      <c r="P35" s="24"/>
      <c r="Q35" s="24"/>
      <c r="R35" s="25"/>
      <c r="S35" s="25"/>
      <c r="T35" s="25"/>
      <c r="U35" s="25"/>
      <c r="V35" s="25"/>
      <c r="W35" s="25"/>
      <c r="X35" s="25"/>
      <c r="Y35" s="25"/>
    </row>
    <row r="36">
      <c r="A36" s="22">
        <v>32.0</v>
      </c>
      <c r="B36" s="87" t="s">
        <v>495</v>
      </c>
      <c r="C36" s="22" t="s">
        <v>463</v>
      </c>
      <c r="D36" s="22"/>
      <c r="E36" s="24"/>
      <c r="F36" s="23"/>
      <c r="G36" s="23"/>
      <c r="H36" s="23"/>
      <c r="I36" s="23"/>
      <c r="J36" s="22"/>
      <c r="K36" s="22"/>
      <c r="L36" s="22"/>
      <c r="M36" s="23"/>
      <c r="N36" s="23"/>
      <c r="O36" s="24"/>
      <c r="P36" s="24"/>
      <c r="Q36" s="24"/>
      <c r="R36" s="25"/>
      <c r="S36" s="25"/>
      <c r="T36" s="25"/>
      <c r="U36" s="25"/>
      <c r="V36" s="25"/>
      <c r="W36" s="25"/>
      <c r="X36" s="25"/>
      <c r="Y36" s="25"/>
    </row>
    <row r="37">
      <c r="A37" s="22">
        <v>33.0</v>
      </c>
      <c r="B37" s="87" t="s">
        <v>496</v>
      </c>
      <c r="C37" s="22" t="s">
        <v>375</v>
      </c>
      <c r="D37" s="22" t="s">
        <v>290</v>
      </c>
      <c r="E37" s="91" t="str">
        <f>HYPERLINK("https://www.village.ohira.miyagi.jp/site/akiya-banku/1175.html", "Link to Miyagi Prefecture")</f>
        <v>Link to Miyagi Prefecture</v>
      </c>
      <c r="F37" s="23"/>
      <c r="G37" s="23"/>
      <c r="H37" s="23"/>
      <c r="I37" s="23"/>
      <c r="J37" s="22"/>
      <c r="K37" s="22"/>
      <c r="L37" s="22"/>
      <c r="M37" s="23"/>
      <c r="N37" s="23"/>
      <c r="O37" s="24"/>
      <c r="P37" s="24"/>
      <c r="Q37" s="24"/>
      <c r="R37" s="25"/>
      <c r="S37" s="25"/>
      <c r="T37" s="25"/>
      <c r="U37" s="25"/>
      <c r="V37" s="25"/>
      <c r="W37" s="25"/>
      <c r="X37" s="25"/>
      <c r="Y37" s="25"/>
    </row>
    <row r="38">
      <c r="A38" s="34">
        <v>34.0</v>
      </c>
      <c r="B38" s="80" t="s">
        <v>497</v>
      </c>
      <c r="C38" s="34" t="s">
        <v>375</v>
      </c>
      <c r="D38" s="64" t="s">
        <v>130</v>
      </c>
      <c r="E38" s="89" t="str">
        <f>HYPERLINK("https://osaki-ijyu-support.jp/akiya/akiyaichiran/", "Link to Miyagi Prefecture")</f>
        <v>Link to Miyagi Prefecture</v>
      </c>
      <c r="F38" s="34"/>
      <c r="G38" s="36"/>
      <c r="H38" s="36"/>
      <c r="I38" s="36"/>
      <c r="J38" s="34"/>
      <c r="K38" s="34"/>
      <c r="L38" s="34"/>
      <c r="M38" s="36"/>
      <c r="N38" s="36"/>
      <c r="O38" s="37"/>
      <c r="P38" s="37"/>
      <c r="Q38" s="37"/>
      <c r="R38" s="38"/>
      <c r="S38" s="38"/>
      <c r="T38" s="38"/>
      <c r="U38" s="38"/>
      <c r="V38" s="38"/>
      <c r="W38" s="38"/>
      <c r="X38" s="38"/>
      <c r="Y38" s="38"/>
    </row>
    <row r="39">
      <c r="A39" s="29">
        <v>35.0</v>
      </c>
      <c r="B39" s="81" t="s">
        <v>498</v>
      </c>
      <c r="C39" s="29" t="s">
        <v>375</v>
      </c>
      <c r="D39" s="29" t="s">
        <v>499</v>
      </c>
      <c r="E39" s="90" t="str">
        <f>HYPERLINK("https://www.town.miyagi-osato.lg.jp/soshiki/machidukuri/akiya-bank02.html", "Link to Miyagi Prefecture")</f>
        <v>Link to Miyagi Prefecture</v>
      </c>
      <c r="F39" s="29"/>
      <c r="G39" s="31"/>
      <c r="H39" s="31"/>
      <c r="I39" s="31"/>
      <c r="J39" s="29"/>
      <c r="K39" s="29"/>
      <c r="L39" s="29"/>
      <c r="M39" s="31"/>
      <c r="N39" s="31"/>
      <c r="O39" s="32"/>
      <c r="P39" s="32"/>
      <c r="Q39" s="32"/>
      <c r="R39" s="33"/>
      <c r="S39" s="33"/>
      <c r="T39" s="33"/>
      <c r="U39" s="33"/>
      <c r="V39" s="33"/>
      <c r="W39" s="33"/>
      <c r="X39" s="33"/>
      <c r="Y39" s="33"/>
    </row>
    <row r="40">
      <c r="A40" s="22"/>
      <c r="B40" s="24"/>
      <c r="C40" s="22"/>
      <c r="D40" s="22"/>
      <c r="E40" s="91" t="str">
        <f>HYPERLINK("https://osaki-ijyu-support.jp/akiya/akiyaichiran/", "Link to Miyagi Prefecture")</f>
        <v>Link to Miyagi Prefecture</v>
      </c>
      <c r="F40" s="23"/>
      <c r="G40" s="23"/>
      <c r="H40" s="23"/>
      <c r="I40" s="23"/>
      <c r="J40" s="22"/>
      <c r="K40" s="22"/>
      <c r="L40" s="22"/>
      <c r="M40" s="23"/>
      <c r="N40" s="23"/>
      <c r="O40" s="24"/>
      <c r="P40" s="24"/>
      <c r="Q40" s="24"/>
      <c r="R40" s="25"/>
      <c r="S40" s="25"/>
      <c r="T40" s="25"/>
      <c r="U40" s="25"/>
      <c r="V40" s="25"/>
      <c r="W40" s="25"/>
      <c r="X40" s="25"/>
      <c r="Y40" s="25"/>
    </row>
    <row r="41">
      <c r="A41" s="3"/>
      <c r="B41" s="10"/>
      <c r="C41" s="3"/>
      <c r="D41" s="3"/>
      <c r="E41" s="10"/>
      <c r="F41" s="11"/>
      <c r="G41" s="11"/>
      <c r="H41" s="11"/>
      <c r="I41" s="11"/>
      <c r="J41" s="3"/>
      <c r="K41" s="3"/>
      <c r="L41" s="3"/>
      <c r="M41" s="11"/>
      <c r="N41" s="11"/>
    </row>
    <row r="42">
      <c r="A42" s="3"/>
      <c r="B42" s="10"/>
      <c r="C42" s="3"/>
      <c r="D42" s="3"/>
      <c r="E42" s="10"/>
      <c r="F42" s="11"/>
      <c r="G42" s="11"/>
      <c r="H42" s="11"/>
      <c r="I42" s="11"/>
      <c r="J42" s="3"/>
      <c r="K42" s="3"/>
      <c r="L42" s="3"/>
      <c r="M42" s="11"/>
      <c r="N42" s="11"/>
    </row>
    <row r="43">
      <c r="A43" s="3"/>
      <c r="B43" s="10"/>
      <c r="C43" s="3"/>
      <c r="D43" s="3"/>
      <c r="E43" s="10"/>
      <c r="F43" s="11"/>
      <c r="G43" s="11"/>
      <c r="H43" s="11"/>
      <c r="I43" s="11"/>
      <c r="J43" s="3"/>
      <c r="K43" s="3"/>
      <c r="L43" s="3"/>
      <c r="M43" s="11"/>
      <c r="N43" s="11"/>
    </row>
    <row r="44">
      <c r="A44" s="3"/>
      <c r="B44" s="10"/>
      <c r="C44" s="3"/>
      <c r="D44" s="3"/>
      <c r="E44" s="10"/>
      <c r="F44" s="11"/>
      <c r="G44" s="11"/>
      <c r="H44" s="11"/>
      <c r="I44" s="11"/>
      <c r="J44" s="3"/>
      <c r="K44" s="3"/>
      <c r="L44" s="3"/>
      <c r="M44" s="11"/>
      <c r="N44" s="11"/>
    </row>
    <row r="45">
      <c r="A45" s="3"/>
      <c r="B45" s="10"/>
      <c r="C45" s="3"/>
      <c r="D45" s="3"/>
      <c r="E45" s="10"/>
      <c r="F45" s="11"/>
      <c r="G45" s="11"/>
      <c r="H45" s="11"/>
      <c r="I45" s="11"/>
      <c r="J45" s="3"/>
      <c r="K45" s="3"/>
      <c r="L45" s="3"/>
      <c r="M45" s="11"/>
      <c r="N45" s="11"/>
    </row>
    <row r="46">
      <c r="A46" s="3"/>
      <c r="B46" s="10"/>
      <c r="C46" s="3"/>
      <c r="D46" s="3"/>
      <c r="E46" s="10"/>
      <c r="F46" s="11"/>
      <c r="G46" s="11"/>
      <c r="H46" s="11"/>
      <c r="I46" s="11"/>
      <c r="J46" s="3"/>
      <c r="K46" s="3"/>
      <c r="L46" s="3"/>
      <c r="M46" s="11"/>
      <c r="N46" s="11"/>
    </row>
    <row r="47">
      <c r="A47" s="3"/>
      <c r="B47" s="10"/>
      <c r="C47" s="3"/>
      <c r="D47" s="3"/>
      <c r="E47" s="10"/>
      <c r="F47" s="11"/>
      <c r="G47" s="11"/>
      <c r="H47" s="11"/>
      <c r="I47" s="11"/>
      <c r="J47" s="3"/>
      <c r="K47" s="3"/>
      <c r="L47" s="3"/>
      <c r="M47" s="11"/>
      <c r="N47" s="11"/>
    </row>
    <row r="48">
      <c r="A48" s="3"/>
      <c r="B48" s="10"/>
      <c r="C48" s="3"/>
      <c r="D48" s="3"/>
      <c r="E48" s="10"/>
      <c r="F48" s="11"/>
      <c r="G48" s="11"/>
      <c r="H48" s="11"/>
      <c r="I48" s="11"/>
      <c r="J48" s="3"/>
      <c r="K48" s="3"/>
      <c r="L48" s="3"/>
      <c r="M48" s="11"/>
      <c r="N48" s="11"/>
    </row>
    <row r="49">
      <c r="A49" s="3"/>
      <c r="B49" s="10"/>
      <c r="C49" s="3"/>
      <c r="D49" s="3"/>
      <c r="E49" s="10"/>
      <c r="F49" s="11"/>
      <c r="G49" s="11"/>
      <c r="H49" s="11"/>
      <c r="I49" s="11"/>
      <c r="J49" s="3"/>
      <c r="K49" s="3"/>
      <c r="L49" s="3"/>
      <c r="M49" s="11"/>
      <c r="N49" s="11"/>
    </row>
    <row r="50">
      <c r="A50" s="3"/>
      <c r="B50" s="10"/>
      <c r="C50" s="3"/>
      <c r="D50" s="3"/>
      <c r="E50" s="10"/>
      <c r="F50" s="11"/>
      <c r="G50" s="11"/>
      <c r="H50" s="11"/>
      <c r="I50" s="11"/>
      <c r="J50" s="3"/>
      <c r="K50" s="3"/>
      <c r="L50" s="3"/>
      <c r="M50" s="11"/>
      <c r="N50" s="11"/>
    </row>
    <row r="51">
      <c r="A51" s="3"/>
      <c r="B51" s="10"/>
      <c r="C51" s="3"/>
      <c r="D51" s="3"/>
      <c r="E51" s="10"/>
      <c r="F51" s="11"/>
      <c r="G51" s="11"/>
      <c r="H51" s="11"/>
      <c r="I51" s="11"/>
      <c r="J51" s="3"/>
      <c r="K51" s="3"/>
      <c r="L51" s="3"/>
      <c r="M51" s="11"/>
      <c r="N51" s="11"/>
    </row>
    <row r="52">
      <c r="A52" s="3"/>
      <c r="B52" s="10"/>
      <c r="C52" s="3"/>
      <c r="D52" s="3"/>
      <c r="E52" s="10"/>
      <c r="F52" s="11"/>
      <c r="G52" s="11"/>
      <c r="H52" s="11"/>
      <c r="I52" s="11"/>
      <c r="J52" s="3"/>
      <c r="K52" s="3"/>
      <c r="L52" s="3"/>
      <c r="M52" s="11"/>
      <c r="N52" s="11"/>
    </row>
    <row r="53">
      <c r="A53" s="3"/>
      <c r="B53" s="10"/>
      <c r="C53" s="3"/>
      <c r="D53" s="3"/>
      <c r="E53" s="10"/>
      <c r="F53" s="11"/>
      <c r="G53" s="11"/>
      <c r="H53" s="11"/>
      <c r="I53" s="11"/>
      <c r="J53" s="3"/>
      <c r="K53" s="3"/>
      <c r="L53" s="3"/>
      <c r="M53" s="11"/>
      <c r="N53" s="11"/>
    </row>
    <row r="54">
      <c r="A54" s="3"/>
      <c r="B54" s="10"/>
      <c r="C54" s="3"/>
      <c r="D54" s="3"/>
      <c r="E54" s="10"/>
      <c r="F54" s="11"/>
      <c r="G54" s="11"/>
      <c r="H54" s="11"/>
      <c r="I54" s="11"/>
      <c r="J54" s="3"/>
      <c r="K54" s="3"/>
      <c r="L54" s="3"/>
      <c r="M54" s="11"/>
      <c r="N54" s="11"/>
    </row>
    <row r="55">
      <c r="A55" s="3"/>
      <c r="B55" s="10"/>
      <c r="C55" s="3"/>
      <c r="D55" s="3"/>
      <c r="E55" s="10"/>
      <c r="F55" s="11"/>
      <c r="G55" s="11"/>
      <c r="H55" s="11"/>
      <c r="I55" s="11"/>
      <c r="J55" s="3"/>
      <c r="K55" s="3"/>
      <c r="L55" s="3"/>
      <c r="M55" s="11"/>
      <c r="N55" s="11"/>
    </row>
    <row r="56">
      <c r="A56" s="3"/>
      <c r="B56" s="10"/>
      <c r="C56" s="3"/>
      <c r="D56" s="3"/>
      <c r="E56" s="10"/>
      <c r="F56" s="11"/>
      <c r="G56" s="11"/>
      <c r="H56" s="11"/>
      <c r="I56" s="11"/>
      <c r="J56" s="3"/>
      <c r="K56" s="3"/>
      <c r="L56" s="3"/>
      <c r="M56" s="11"/>
      <c r="N56" s="11"/>
    </row>
    <row r="57">
      <c r="A57" s="3"/>
      <c r="B57" s="10"/>
      <c r="C57" s="3"/>
      <c r="D57" s="3"/>
      <c r="E57" s="10"/>
      <c r="F57" s="11"/>
      <c r="G57" s="11"/>
      <c r="H57" s="11"/>
      <c r="I57" s="11"/>
      <c r="J57" s="3"/>
      <c r="K57" s="3"/>
      <c r="L57" s="3"/>
      <c r="M57" s="11"/>
      <c r="N57" s="11"/>
    </row>
    <row r="58">
      <c r="A58" s="3"/>
      <c r="B58" s="10"/>
      <c r="C58" s="3"/>
      <c r="D58" s="3"/>
      <c r="E58" s="10"/>
      <c r="F58" s="11"/>
      <c r="G58" s="11"/>
      <c r="H58" s="11"/>
      <c r="I58" s="11"/>
      <c r="J58" s="3"/>
      <c r="K58" s="3"/>
      <c r="L58" s="3"/>
      <c r="M58" s="11"/>
      <c r="N58" s="11"/>
    </row>
    <row r="59">
      <c r="A59" s="3"/>
      <c r="B59" s="10"/>
      <c r="C59" s="3"/>
      <c r="D59" s="3"/>
      <c r="E59" s="10"/>
      <c r="F59" s="11"/>
      <c r="G59" s="11"/>
      <c r="H59" s="11"/>
      <c r="I59" s="11"/>
      <c r="J59" s="3"/>
      <c r="K59" s="3"/>
      <c r="L59" s="3"/>
      <c r="M59" s="11"/>
      <c r="N59" s="11"/>
    </row>
  </sheetData>
  <hyperlinks>
    <hyperlink r:id="rId2" ref="E10"/>
  </hyperlinks>
  <drawing r:id="rId3"/>
  <legacy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13"/>
    <col customWidth="1" min="3" max="3" width="15.25"/>
    <col customWidth="1" min="4" max="4" width="26.88"/>
    <col customWidth="1" min="5" max="5" width="39.88"/>
    <col customWidth="1" min="6" max="6" width="18.25"/>
  </cols>
  <sheetData>
    <row r="2">
      <c r="A2" s="2" t="s">
        <v>500</v>
      </c>
      <c r="B2" s="2" t="s">
        <v>259</v>
      </c>
    </row>
    <row r="3">
      <c r="F3" s="3" t="s">
        <v>2</v>
      </c>
      <c r="G3" s="62"/>
    </row>
    <row r="4">
      <c r="A4" s="4" t="s">
        <v>3</v>
      </c>
      <c r="B4" s="4" t="s">
        <v>4</v>
      </c>
      <c r="C4" s="4" t="s">
        <v>5</v>
      </c>
      <c r="D4" s="4" t="s">
        <v>6</v>
      </c>
      <c r="E4" s="4" t="s">
        <v>7</v>
      </c>
      <c r="F4" s="6">
        <v>45323.0</v>
      </c>
      <c r="G4" s="6">
        <v>45352.0</v>
      </c>
      <c r="H4" s="6">
        <v>45383.0</v>
      </c>
      <c r="I4" s="6">
        <v>45413.0</v>
      </c>
      <c r="J4" s="6">
        <v>45444.0</v>
      </c>
      <c r="K4" s="6">
        <v>45474.0</v>
      </c>
      <c r="L4" s="9">
        <v>45505.0</v>
      </c>
      <c r="M4" s="11"/>
      <c r="N4" s="10"/>
      <c r="O4" s="10"/>
      <c r="P4" s="10"/>
      <c r="Q4" s="10"/>
    </row>
    <row r="5">
      <c r="A5" s="34">
        <v>1.0</v>
      </c>
      <c r="B5" s="80" t="s">
        <v>262</v>
      </c>
      <c r="C5" s="34" t="s">
        <v>463</v>
      </c>
      <c r="D5" s="93"/>
      <c r="E5" s="37"/>
      <c r="F5" s="36"/>
      <c r="G5" s="36"/>
      <c r="H5" s="36"/>
      <c r="I5" s="36"/>
      <c r="J5" s="34"/>
      <c r="K5" s="34"/>
      <c r="L5" s="34"/>
      <c r="M5" s="36"/>
      <c r="N5" s="37"/>
      <c r="O5" s="37"/>
      <c r="P5" s="37"/>
      <c r="Q5" s="37"/>
      <c r="R5" s="38"/>
      <c r="S5" s="38"/>
      <c r="T5" s="38"/>
      <c r="U5" s="38"/>
      <c r="V5" s="38"/>
      <c r="W5" s="38"/>
      <c r="X5" s="38"/>
      <c r="Y5" s="38"/>
    </row>
    <row r="6">
      <c r="A6" s="34">
        <v>2.0</v>
      </c>
      <c r="B6" s="80" t="s">
        <v>501</v>
      </c>
      <c r="C6" s="34" t="s">
        <v>375</v>
      </c>
      <c r="D6" s="34" t="s">
        <v>130</v>
      </c>
      <c r="E6" s="89" t="str">
        <f>HYPERLINK("https://iga-akiyabank.com/bukken/", "Link to Mie's Prefecture")</f>
        <v>Link to Mie's Prefecture</v>
      </c>
      <c r="F6" s="34" t="s">
        <v>502</v>
      </c>
      <c r="G6" s="36"/>
      <c r="H6" s="36"/>
      <c r="I6" s="36"/>
      <c r="J6" s="34"/>
      <c r="K6" s="34"/>
      <c r="L6" s="34"/>
      <c r="M6" s="36"/>
      <c r="N6" s="37"/>
      <c r="O6" s="37"/>
      <c r="P6" s="37"/>
      <c r="Q6" s="37"/>
      <c r="R6" s="38"/>
      <c r="S6" s="38"/>
      <c r="T6" s="38"/>
      <c r="U6" s="38"/>
      <c r="V6" s="38"/>
      <c r="W6" s="38"/>
      <c r="X6" s="38"/>
      <c r="Y6" s="38"/>
    </row>
    <row r="7">
      <c r="A7" s="29">
        <v>3.0</v>
      </c>
      <c r="B7" s="81" t="s">
        <v>503</v>
      </c>
      <c r="C7" s="29" t="s">
        <v>375</v>
      </c>
      <c r="D7" s="29" t="s">
        <v>162</v>
      </c>
      <c r="E7" s="90" t="str">
        <f>HYPERLINK("https://www.city.inabe.mie.jp/kurashi/jutaku/1000847.html", "Link to Mie's Prefecture")</f>
        <v>Link to Mie's Prefecture</v>
      </c>
      <c r="F7" s="29" t="s">
        <v>504</v>
      </c>
      <c r="G7" s="31"/>
      <c r="H7" s="31"/>
      <c r="I7" s="31"/>
      <c r="J7" s="29"/>
      <c r="K7" s="29"/>
      <c r="L7" s="29"/>
      <c r="M7" s="31"/>
      <c r="N7" s="32"/>
      <c r="O7" s="32"/>
      <c r="P7" s="32"/>
      <c r="Q7" s="32"/>
      <c r="R7" s="33"/>
      <c r="S7" s="33"/>
      <c r="T7" s="33"/>
      <c r="U7" s="33"/>
      <c r="V7" s="33"/>
      <c r="W7" s="33"/>
      <c r="X7" s="33"/>
      <c r="Y7" s="33"/>
    </row>
    <row r="8">
      <c r="A8" s="34">
        <v>4.0</v>
      </c>
      <c r="B8" s="80" t="s">
        <v>505</v>
      </c>
      <c r="C8" s="34" t="s">
        <v>375</v>
      </c>
      <c r="D8" s="34" t="s">
        <v>130</v>
      </c>
      <c r="E8" s="89" t="str">
        <f>HYPERLINK("https://www.city.ise.mie.jp/kurashi/hikkoshi_sumai/akiya/bank/baibai/index.html", "Link to Mie's Prefecture")</f>
        <v>Link to Mie's Prefecture</v>
      </c>
      <c r="F8" s="34" t="s">
        <v>506</v>
      </c>
      <c r="G8" s="36"/>
      <c r="H8" s="36"/>
      <c r="I8" s="36"/>
      <c r="J8" s="34"/>
      <c r="K8" s="34"/>
      <c r="L8" s="34"/>
      <c r="M8" s="36"/>
      <c r="N8" s="37"/>
      <c r="O8" s="37"/>
      <c r="P8" s="37"/>
      <c r="Q8" s="37"/>
      <c r="R8" s="38"/>
      <c r="S8" s="38"/>
      <c r="T8" s="38"/>
      <c r="U8" s="38"/>
      <c r="V8" s="38"/>
      <c r="W8" s="38"/>
      <c r="X8" s="38"/>
      <c r="Y8" s="38"/>
    </row>
    <row r="9">
      <c r="A9" s="29">
        <v>5.0</v>
      </c>
      <c r="B9" s="81" t="s">
        <v>507</v>
      </c>
      <c r="C9" s="29" t="s">
        <v>375</v>
      </c>
      <c r="D9" s="29" t="s">
        <v>469</v>
      </c>
      <c r="E9" s="90" t="str">
        <f>HYPERLINK("https://www.city.kameyama.mie.jp/docs/2021010500012/akiya_bank.html", "Link to Mie's Prefecture")</f>
        <v>Link to Mie's Prefecture</v>
      </c>
      <c r="F9" s="29" t="s">
        <v>508</v>
      </c>
      <c r="G9" s="31"/>
      <c r="H9" s="31"/>
      <c r="I9" s="31"/>
      <c r="J9" s="29"/>
      <c r="K9" s="29"/>
      <c r="L9" s="29"/>
      <c r="M9" s="31"/>
      <c r="N9" s="32"/>
      <c r="O9" s="32"/>
      <c r="P9" s="32"/>
      <c r="Q9" s="32"/>
      <c r="R9" s="33"/>
      <c r="S9" s="33"/>
      <c r="T9" s="33"/>
      <c r="U9" s="33"/>
      <c r="V9" s="33"/>
      <c r="W9" s="33"/>
      <c r="X9" s="33"/>
      <c r="Y9" s="33"/>
    </row>
    <row r="10">
      <c r="A10" s="22">
        <v>6.0</v>
      </c>
      <c r="B10" s="87" t="s">
        <v>509</v>
      </c>
      <c r="C10" s="22" t="s">
        <v>375</v>
      </c>
      <c r="D10" s="88" t="s">
        <v>510</v>
      </c>
      <c r="E10" s="91" t="str">
        <f>HYPERLINK("https://www.town.kawagoe.mie.jp/kurashi/sumaiseikatsu/1002417/1001635/1001638.html", "Link to Mie's Prefecture")</f>
        <v>Link to Mie's Prefecture</v>
      </c>
      <c r="F10" s="23"/>
      <c r="G10" s="23"/>
      <c r="H10" s="23"/>
      <c r="I10" s="23"/>
      <c r="J10" s="22"/>
      <c r="K10" s="22"/>
      <c r="L10" s="22"/>
      <c r="M10" s="23"/>
      <c r="N10" s="24"/>
      <c r="O10" s="24"/>
      <c r="P10" s="24"/>
      <c r="Q10" s="24"/>
      <c r="R10" s="25"/>
      <c r="S10" s="25"/>
      <c r="T10" s="25"/>
      <c r="U10" s="25"/>
      <c r="V10" s="25"/>
      <c r="W10" s="25"/>
      <c r="X10" s="25"/>
      <c r="Y10" s="25"/>
    </row>
    <row r="11">
      <c r="A11" s="22">
        <v>7.0</v>
      </c>
      <c r="B11" s="87" t="s">
        <v>511</v>
      </c>
      <c r="C11" s="22" t="s">
        <v>375</v>
      </c>
      <c r="D11" s="22" t="s">
        <v>512</v>
      </c>
      <c r="E11" s="91" t="str">
        <f>HYPERLINK("https://www.town.mie-kihoku.lg.jp/kakuka/kikaku/kikakukakari/akiyabank/957.html", "Link to Mie's Prefecture")</f>
        <v>Link to Mie's Prefecture</v>
      </c>
      <c r="F11" s="23"/>
      <c r="G11" s="23"/>
      <c r="H11" s="23"/>
      <c r="I11" s="23"/>
      <c r="J11" s="22"/>
      <c r="K11" s="22"/>
      <c r="L11" s="22"/>
      <c r="M11" s="23"/>
      <c r="N11" s="24"/>
      <c r="O11" s="24"/>
      <c r="P11" s="24"/>
      <c r="Q11" s="24"/>
      <c r="R11" s="25"/>
      <c r="S11" s="25"/>
      <c r="T11" s="25"/>
      <c r="U11" s="25"/>
      <c r="V11" s="25"/>
      <c r="W11" s="25"/>
      <c r="X11" s="25"/>
      <c r="Y11" s="25"/>
    </row>
    <row r="12">
      <c r="A12" s="29">
        <v>8.0</v>
      </c>
      <c r="B12" s="81" t="s">
        <v>513</v>
      </c>
      <c r="C12" s="29" t="s">
        <v>375</v>
      </c>
      <c r="D12" s="29" t="s">
        <v>469</v>
      </c>
      <c r="E12" s="90" t="str">
        <f>HYPERLINK("https://kiho-town.com/project/", "Link to Mie's Prefecture")</f>
        <v>Link to Mie's Prefecture</v>
      </c>
      <c r="F12" s="29" t="s">
        <v>504</v>
      </c>
      <c r="G12" s="31"/>
      <c r="H12" s="31"/>
      <c r="I12" s="31"/>
      <c r="J12" s="29"/>
      <c r="K12" s="29"/>
      <c r="L12" s="29"/>
      <c r="M12" s="31"/>
      <c r="N12" s="32"/>
      <c r="O12" s="32"/>
      <c r="P12" s="32"/>
      <c r="Q12" s="32"/>
      <c r="R12" s="33"/>
      <c r="S12" s="33"/>
      <c r="T12" s="33"/>
      <c r="U12" s="33"/>
      <c r="V12" s="33"/>
      <c r="W12" s="33"/>
      <c r="X12" s="33"/>
      <c r="Y12" s="33"/>
    </row>
    <row r="13">
      <c r="A13" s="22">
        <v>9.0</v>
      </c>
      <c r="B13" s="87" t="s">
        <v>514</v>
      </c>
      <c r="C13" s="22" t="s">
        <v>375</v>
      </c>
      <c r="D13" s="22" t="s">
        <v>290</v>
      </c>
      <c r="E13" s="91" t="str">
        <f>HYPERLINK("https://www.ijyu.pref.mie.lg.jp/html/akiya_list.php?city=%E6%9C%A8%E6%9B%BD%E5%B2%AC%E7%94%BA", "Link to Mie's Prefecture")</f>
        <v>Link to Mie's Prefecture</v>
      </c>
      <c r="F13" s="23"/>
      <c r="G13" s="23"/>
      <c r="H13" s="23"/>
      <c r="I13" s="23"/>
      <c r="J13" s="22"/>
      <c r="K13" s="22"/>
      <c r="L13" s="22"/>
      <c r="M13" s="23"/>
      <c r="N13" s="24"/>
      <c r="O13" s="24"/>
      <c r="P13" s="24"/>
      <c r="Q13" s="24"/>
      <c r="R13" s="25"/>
      <c r="S13" s="25"/>
      <c r="T13" s="25"/>
      <c r="U13" s="25"/>
      <c r="V13" s="25"/>
      <c r="W13" s="25"/>
      <c r="X13" s="25"/>
      <c r="Y13" s="25"/>
    </row>
    <row r="14">
      <c r="A14" s="34">
        <v>10.0</v>
      </c>
      <c r="B14" s="80" t="s">
        <v>515</v>
      </c>
      <c r="C14" s="34" t="s">
        <v>463</v>
      </c>
      <c r="D14" s="34"/>
      <c r="E14" s="38"/>
      <c r="F14" s="36"/>
      <c r="G14" s="36"/>
      <c r="H14" s="36"/>
      <c r="I14" s="36"/>
      <c r="J14" s="34"/>
      <c r="K14" s="34"/>
      <c r="L14" s="34"/>
      <c r="M14" s="36"/>
      <c r="N14" s="37"/>
      <c r="O14" s="37"/>
      <c r="P14" s="37"/>
      <c r="Q14" s="37"/>
      <c r="R14" s="38"/>
      <c r="S14" s="38"/>
      <c r="T14" s="38"/>
      <c r="U14" s="38"/>
      <c r="V14" s="38"/>
      <c r="W14" s="38"/>
      <c r="X14" s="38"/>
      <c r="Y14" s="38"/>
    </row>
    <row r="15">
      <c r="A15" s="22">
        <v>11.0</v>
      </c>
      <c r="B15" s="87" t="s">
        <v>181</v>
      </c>
      <c r="C15" s="22" t="s">
        <v>375</v>
      </c>
      <c r="D15" s="22" t="s">
        <v>516</v>
      </c>
      <c r="E15" s="91" t="str">
        <f>HYPERLINK("https://kumanoijunet.jimdofree.com/%E7%A9%BA%E3%81%8D%E5%AE%B6%E3%83%90%E3%83%B3%E3%82%AF/", "Link to Mie's Prefecture")</f>
        <v>Link to Mie's Prefecture</v>
      </c>
      <c r="F15" s="23"/>
      <c r="G15" s="23"/>
      <c r="H15" s="23"/>
      <c r="I15" s="23"/>
      <c r="J15" s="22"/>
      <c r="K15" s="22"/>
      <c r="L15" s="22"/>
      <c r="M15" s="23"/>
      <c r="N15" s="24"/>
      <c r="O15" s="24"/>
      <c r="P15" s="24"/>
      <c r="Q15" s="24"/>
      <c r="R15" s="25"/>
      <c r="S15" s="25"/>
      <c r="T15" s="25"/>
      <c r="U15" s="25"/>
      <c r="V15" s="25"/>
      <c r="W15" s="25"/>
      <c r="X15" s="25"/>
      <c r="Y15" s="25"/>
    </row>
    <row r="16">
      <c r="A16" s="34">
        <v>12.0</v>
      </c>
      <c r="B16" s="80" t="s">
        <v>517</v>
      </c>
      <c r="C16" s="34" t="s">
        <v>463</v>
      </c>
      <c r="D16" s="34"/>
      <c r="E16" s="37"/>
      <c r="F16" s="36"/>
      <c r="G16" s="36"/>
      <c r="H16" s="36"/>
      <c r="I16" s="36"/>
      <c r="J16" s="34"/>
      <c r="K16" s="34"/>
      <c r="L16" s="34"/>
      <c r="M16" s="36"/>
      <c r="N16" s="37"/>
      <c r="O16" s="37"/>
      <c r="P16" s="37"/>
      <c r="Q16" s="37"/>
      <c r="R16" s="38"/>
      <c r="S16" s="38"/>
      <c r="T16" s="38"/>
      <c r="U16" s="38"/>
      <c r="V16" s="38"/>
      <c r="W16" s="38"/>
      <c r="X16" s="38"/>
      <c r="Y16" s="38"/>
    </row>
    <row r="17">
      <c r="A17" s="29">
        <v>13.0</v>
      </c>
      <c r="B17" s="81" t="s">
        <v>518</v>
      </c>
      <c r="C17" s="29" t="s">
        <v>375</v>
      </c>
      <c r="D17" s="29" t="s">
        <v>469</v>
      </c>
      <c r="E17" s="90" t="str">
        <f>HYPERLINK("https://www.city.matsusaka.mie.jp/site/ijyu-teijyu/iinan-bukken.html", "Link to Mie's Prefecture")</f>
        <v>Link to Mie's Prefecture</v>
      </c>
      <c r="F17" s="29" t="s">
        <v>504</v>
      </c>
      <c r="G17" s="31"/>
      <c r="H17" s="31"/>
      <c r="I17" s="31"/>
      <c r="J17" s="29"/>
      <c r="K17" s="29"/>
      <c r="L17" s="29"/>
      <c r="M17" s="31"/>
      <c r="N17" s="32"/>
      <c r="O17" s="32"/>
      <c r="P17" s="32"/>
      <c r="Q17" s="32"/>
      <c r="R17" s="33"/>
      <c r="S17" s="33"/>
      <c r="T17" s="33"/>
      <c r="U17" s="33"/>
      <c r="V17" s="33"/>
      <c r="W17" s="33"/>
      <c r="X17" s="33"/>
      <c r="Y17" s="33"/>
    </row>
    <row r="18">
      <c r="A18" s="34">
        <v>14.0</v>
      </c>
      <c r="B18" s="80" t="s">
        <v>519</v>
      </c>
      <c r="C18" s="34" t="s">
        <v>463</v>
      </c>
      <c r="D18" s="93"/>
      <c r="E18" s="37"/>
      <c r="F18" s="36"/>
      <c r="G18" s="36"/>
      <c r="H18" s="36"/>
      <c r="I18" s="36"/>
      <c r="J18" s="34"/>
      <c r="K18" s="34"/>
      <c r="L18" s="34"/>
      <c r="M18" s="36"/>
      <c r="N18" s="37"/>
      <c r="O18" s="37"/>
      <c r="P18" s="37"/>
      <c r="Q18" s="37"/>
      <c r="R18" s="38"/>
      <c r="S18" s="38"/>
      <c r="T18" s="38"/>
      <c r="U18" s="38"/>
      <c r="V18" s="38"/>
      <c r="W18" s="38"/>
      <c r="X18" s="38"/>
      <c r="Y18" s="38"/>
    </row>
    <row r="19">
      <c r="A19" s="22">
        <v>15.0</v>
      </c>
      <c r="B19" s="87" t="s">
        <v>520</v>
      </c>
      <c r="C19" s="22" t="s">
        <v>375</v>
      </c>
      <c r="D19" s="88" t="s">
        <v>124</v>
      </c>
      <c r="E19" s="91" t="str">
        <f>HYPERLINK("https://mihama-akiya.notion.site/49a0b841adc64236b7cd7dcca3dfbdd9", "Link to Mie's Prefecture")</f>
        <v>Link to Mie's Prefecture</v>
      </c>
      <c r="F19" s="22"/>
      <c r="G19" s="23"/>
      <c r="H19" s="23"/>
      <c r="I19" s="23"/>
      <c r="J19" s="22"/>
      <c r="K19" s="22"/>
      <c r="L19" s="22"/>
      <c r="M19" s="23"/>
      <c r="N19" s="24"/>
      <c r="O19" s="24"/>
      <c r="P19" s="24"/>
      <c r="Q19" s="24"/>
      <c r="R19" s="25"/>
      <c r="S19" s="25"/>
      <c r="T19" s="25"/>
      <c r="U19" s="25"/>
      <c r="V19" s="25"/>
      <c r="W19" s="25"/>
      <c r="X19" s="25"/>
      <c r="Y19" s="25"/>
    </row>
    <row r="20">
      <c r="A20" s="29">
        <v>16.0</v>
      </c>
      <c r="B20" s="81" t="s">
        <v>521</v>
      </c>
      <c r="C20" s="29" t="s">
        <v>375</v>
      </c>
      <c r="D20" s="92" t="s">
        <v>469</v>
      </c>
      <c r="E20" s="90" t="str">
        <f>HYPERLINK("https://www.town.minamiise.lg.jp/cgi-bin/recruit.php/2/list?page_no=161", "Link to Mie's Prefecture")</f>
        <v>Link to Mie's Prefecture</v>
      </c>
      <c r="F20" s="29" t="s">
        <v>504</v>
      </c>
      <c r="G20" s="31"/>
      <c r="H20" s="31"/>
      <c r="I20" s="31"/>
      <c r="J20" s="29"/>
      <c r="K20" s="29"/>
      <c r="L20" s="29"/>
      <c r="M20" s="31"/>
      <c r="N20" s="32"/>
      <c r="O20" s="32"/>
      <c r="P20" s="32"/>
      <c r="Q20" s="32"/>
      <c r="R20" s="33"/>
      <c r="S20" s="33"/>
      <c r="T20" s="33"/>
      <c r="U20" s="33"/>
      <c r="V20" s="33"/>
      <c r="W20" s="33"/>
      <c r="X20" s="33"/>
      <c r="Y20" s="33"/>
    </row>
    <row r="21">
      <c r="A21" s="34">
        <v>17.0</v>
      </c>
      <c r="B21" s="80" t="s">
        <v>522</v>
      </c>
      <c r="C21" s="34" t="s">
        <v>375</v>
      </c>
      <c r="D21" s="34" t="s">
        <v>130</v>
      </c>
      <c r="E21" s="89" t="str">
        <f>HYPERLINK("https://www.city.nabari.lg.jp/akiyabank/search/all.html", "Link to Mie's Prefecture")</f>
        <v>Link to Mie's Prefecture</v>
      </c>
      <c r="F21" s="34" t="s">
        <v>504</v>
      </c>
      <c r="G21" s="36"/>
      <c r="H21" s="36"/>
      <c r="I21" s="36"/>
      <c r="J21" s="34"/>
      <c r="K21" s="34"/>
      <c r="L21" s="34"/>
      <c r="M21" s="36"/>
      <c r="N21" s="37"/>
      <c r="O21" s="37"/>
      <c r="P21" s="37"/>
      <c r="Q21" s="37"/>
      <c r="R21" s="38"/>
      <c r="S21" s="38"/>
      <c r="T21" s="38"/>
      <c r="U21" s="38"/>
      <c r="V21" s="38"/>
      <c r="W21" s="38"/>
      <c r="X21" s="38"/>
      <c r="Y21" s="38"/>
    </row>
    <row r="22">
      <c r="A22" s="34">
        <v>18.0</v>
      </c>
      <c r="B22" s="80" t="s">
        <v>523</v>
      </c>
      <c r="C22" s="34" t="s">
        <v>463</v>
      </c>
      <c r="D22" s="93"/>
      <c r="E22" s="38"/>
      <c r="F22" s="36"/>
      <c r="G22" s="36"/>
      <c r="H22" s="36"/>
      <c r="I22" s="36"/>
      <c r="J22" s="34"/>
      <c r="K22" s="34"/>
      <c r="L22" s="34"/>
      <c r="M22" s="36"/>
      <c r="N22" s="37"/>
      <c r="O22" s="37"/>
      <c r="P22" s="37"/>
      <c r="Q22" s="37"/>
      <c r="R22" s="38"/>
      <c r="S22" s="38"/>
      <c r="T22" s="38"/>
      <c r="U22" s="38"/>
      <c r="V22" s="38"/>
      <c r="W22" s="38"/>
      <c r="X22" s="38"/>
      <c r="Y22" s="38"/>
    </row>
    <row r="23">
      <c r="A23" s="22">
        <v>19.0</v>
      </c>
      <c r="B23" s="87" t="s">
        <v>524</v>
      </c>
      <c r="C23" s="22" t="s">
        <v>375</v>
      </c>
      <c r="D23" s="22" t="s">
        <v>525</v>
      </c>
      <c r="E23" s="91" t="str">
        <f>HYPERLINK("https://www.city.shima.mie.jp/cgi-bin/recruit.php/1/list", "Link to Mie's Prefecture")</f>
        <v>Link to Mie's Prefecture</v>
      </c>
      <c r="F23" s="22"/>
      <c r="G23" s="23"/>
      <c r="H23" s="23"/>
      <c r="I23" s="23"/>
      <c r="J23" s="22"/>
      <c r="K23" s="22"/>
      <c r="L23" s="22"/>
      <c r="M23" s="23"/>
      <c r="N23" s="24"/>
      <c r="O23" s="24"/>
      <c r="P23" s="24"/>
      <c r="Q23" s="24"/>
      <c r="R23" s="25"/>
      <c r="S23" s="25"/>
      <c r="T23" s="25"/>
      <c r="U23" s="25"/>
      <c r="V23" s="25"/>
      <c r="W23" s="25"/>
      <c r="X23" s="25"/>
      <c r="Y23" s="25"/>
    </row>
    <row r="24">
      <c r="A24" s="29">
        <v>20.0</v>
      </c>
      <c r="B24" s="81" t="s">
        <v>526</v>
      </c>
      <c r="C24" s="29" t="s">
        <v>375</v>
      </c>
      <c r="D24" s="29" t="s">
        <v>469</v>
      </c>
      <c r="E24" s="95" t="s">
        <v>527</v>
      </c>
      <c r="F24" s="29" t="s">
        <v>504</v>
      </c>
      <c r="G24" s="31"/>
      <c r="H24" s="31"/>
      <c r="I24" s="31"/>
      <c r="J24" s="29"/>
      <c r="K24" s="29"/>
      <c r="L24" s="29"/>
      <c r="M24" s="31"/>
      <c r="N24" s="32"/>
      <c r="O24" s="32"/>
      <c r="P24" s="32"/>
      <c r="Q24" s="32"/>
      <c r="R24" s="33"/>
      <c r="S24" s="33"/>
      <c r="T24" s="33"/>
      <c r="U24" s="33"/>
      <c r="V24" s="33"/>
      <c r="W24" s="33"/>
      <c r="X24" s="33"/>
      <c r="Y24" s="33"/>
    </row>
    <row r="25">
      <c r="A25" s="34">
        <v>21.0</v>
      </c>
      <c r="B25" s="80" t="s">
        <v>528</v>
      </c>
      <c r="C25" s="34" t="s">
        <v>375</v>
      </c>
      <c r="D25" s="34" t="s">
        <v>290</v>
      </c>
      <c r="E25" s="37"/>
      <c r="F25" s="36"/>
      <c r="G25" s="34"/>
      <c r="H25" s="36"/>
      <c r="I25" s="36"/>
      <c r="J25" s="34"/>
      <c r="K25" s="34"/>
      <c r="L25" s="34"/>
      <c r="M25" s="36"/>
      <c r="N25" s="37"/>
      <c r="O25" s="37"/>
      <c r="P25" s="37"/>
      <c r="Q25" s="37"/>
      <c r="R25" s="38"/>
      <c r="S25" s="38"/>
      <c r="T25" s="38"/>
      <c r="U25" s="38"/>
      <c r="V25" s="38"/>
      <c r="W25" s="38"/>
      <c r="X25" s="38"/>
      <c r="Y25" s="38"/>
    </row>
    <row r="26">
      <c r="A26" s="34">
        <v>22.0</v>
      </c>
      <c r="B26" s="80" t="s">
        <v>529</v>
      </c>
      <c r="C26" s="34" t="s">
        <v>375</v>
      </c>
      <c r="D26" s="34" t="s">
        <v>290</v>
      </c>
      <c r="E26" s="37"/>
      <c r="F26" s="36"/>
      <c r="G26" s="36"/>
      <c r="H26" s="36"/>
      <c r="I26" s="36"/>
      <c r="J26" s="34"/>
      <c r="K26" s="34"/>
      <c r="L26" s="34"/>
      <c r="M26" s="36"/>
      <c r="N26" s="37"/>
      <c r="O26" s="37"/>
      <c r="P26" s="37"/>
      <c r="Q26" s="37"/>
      <c r="R26" s="38"/>
      <c r="S26" s="38"/>
      <c r="T26" s="38"/>
      <c r="U26" s="38"/>
      <c r="V26" s="38"/>
      <c r="W26" s="38"/>
      <c r="X26" s="38"/>
      <c r="Y26" s="38"/>
    </row>
    <row r="27">
      <c r="A27" s="34">
        <v>23.0</v>
      </c>
      <c r="B27" s="80" t="s">
        <v>530</v>
      </c>
      <c r="C27" s="34" t="s">
        <v>463</v>
      </c>
      <c r="D27" s="34"/>
      <c r="E27" s="37"/>
      <c r="F27" s="36"/>
      <c r="G27" s="36"/>
      <c r="H27" s="36"/>
      <c r="I27" s="36"/>
      <c r="J27" s="34"/>
      <c r="K27" s="34"/>
      <c r="L27" s="34"/>
      <c r="M27" s="36"/>
      <c r="N27" s="37"/>
      <c r="O27" s="37"/>
      <c r="P27" s="37"/>
      <c r="Q27" s="37"/>
      <c r="R27" s="38"/>
      <c r="S27" s="38"/>
      <c r="T27" s="38"/>
      <c r="U27" s="38"/>
      <c r="V27" s="38"/>
      <c r="W27" s="38"/>
      <c r="X27" s="38"/>
      <c r="Y27" s="38"/>
    </row>
    <row r="28">
      <c r="A28" s="29">
        <v>24.0</v>
      </c>
      <c r="B28" s="81" t="s">
        <v>531</v>
      </c>
      <c r="C28" s="29" t="s">
        <v>375</v>
      </c>
      <c r="D28" s="29" t="s">
        <v>469</v>
      </c>
      <c r="E28" s="90" t="str">
        <f>HYPERLINK("https://akiyabank-toba.com/", "Link to Mie's Prefecture")</f>
        <v>Link to Mie's Prefecture</v>
      </c>
      <c r="F28" s="29" t="s">
        <v>504</v>
      </c>
      <c r="G28" s="31"/>
      <c r="H28" s="31"/>
      <c r="I28" s="31"/>
      <c r="J28" s="29"/>
      <c r="K28" s="29"/>
      <c r="L28" s="29"/>
      <c r="M28" s="31"/>
      <c r="N28" s="32"/>
      <c r="O28" s="32"/>
      <c r="P28" s="32"/>
      <c r="Q28" s="32"/>
      <c r="R28" s="33"/>
      <c r="S28" s="33"/>
      <c r="T28" s="33"/>
      <c r="U28" s="33"/>
      <c r="V28" s="33"/>
      <c r="W28" s="33"/>
      <c r="X28" s="33"/>
      <c r="Y28" s="33"/>
    </row>
    <row r="29">
      <c r="A29" s="22">
        <v>25.0</v>
      </c>
      <c r="B29" s="87" t="s">
        <v>532</v>
      </c>
      <c r="C29" s="22" t="s">
        <v>375</v>
      </c>
      <c r="D29" s="22" t="s">
        <v>533</v>
      </c>
      <c r="E29" s="91" t="str">
        <f>HYPERLINK("https://www.info.city.tsu.mie.jp/www/akiya/index.html", "Link to Mie's Prefecture")</f>
        <v>Link to Mie's Prefecture</v>
      </c>
      <c r="F29" s="22"/>
      <c r="G29" s="23"/>
      <c r="H29" s="23"/>
      <c r="I29" s="23"/>
      <c r="J29" s="22"/>
      <c r="K29" s="22"/>
      <c r="L29" s="22"/>
      <c r="M29" s="23"/>
      <c r="N29" s="24"/>
      <c r="O29" s="24"/>
      <c r="P29" s="24"/>
      <c r="Q29" s="24"/>
      <c r="R29" s="25"/>
      <c r="S29" s="25"/>
      <c r="T29" s="25"/>
      <c r="U29" s="25"/>
      <c r="V29" s="25"/>
      <c r="W29" s="25"/>
      <c r="X29" s="25"/>
      <c r="Y29" s="25"/>
    </row>
    <row r="30">
      <c r="A30" s="22">
        <v>26.0</v>
      </c>
      <c r="B30" s="87" t="s">
        <v>534</v>
      </c>
      <c r="C30" s="22" t="s">
        <v>375</v>
      </c>
      <c r="D30" s="22" t="s">
        <v>290</v>
      </c>
      <c r="E30" s="91" t="str">
        <f>HYPERLINK("https://www.town.toin.lg.jp/soshiki/1011/2/2/1/630.html", "Link to Mie's Prefecture")</f>
        <v>Link to Mie's Prefecture</v>
      </c>
      <c r="F30" s="23"/>
      <c r="G30" s="23"/>
      <c r="H30" s="23"/>
      <c r="I30" s="23"/>
      <c r="J30" s="22"/>
      <c r="K30" s="22"/>
      <c r="L30" s="22"/>
      <c r="M30" s="23"/>
      <c r="N30" s="24"/>
      <c r="O30" s="24"/>
      <c r="P30" s="24"/>
      <c r="Q30" s="24"/>
      <c r="R30" s="25"/>
      <c r="S30" s="25"/>
      <c r="T30" s="25"/>
      <c r="U30" s="25"/>
      <c r="V30" s="25"/>
      <c r="W30" s="25"/>
      <c r="X30" s="25"/>
      <c r="Y30" s="25"/>
    </row>
    <row r="31">
      <c r="A31" s="29">
        <v>27.0</v>
      </c>
      <c r="B31" s="81" t="s">
        <v>535</v>
      </c>
      <c r="C31" s="29" t="s">
        <v>375</v>
      </c>
      <c r="D31" s="29" t="s">
        <v>469</v>
      </c>
      <c r="E31" s="90" t="str">
        <f>HYPERLINK("https://www.town.watarai.lg.jp/category_list.php?frmCd=10-4-2-0-0", "Link to Mie's Prefecture")</f>
        <v>Link to Mie's Prefecture</v>
      </c>
      <c r="F31" s="29" t="s">
        <v>504</v>
      </c>
      <c r="G31" s="31"/>
      <c r="H31" s="31"/>
      <c r="I31" s="31"/>
      <c r="J31" s="29"/>
      <c r="K31" s="29"/>
      <c r="L31" s="29"/>
      <c r="M31" s="31"/>
      <c r="N31" s="31"/>
      <c r="O31" s="32"/>
      <c r="P31" s="32"/>
      <c r="Q31" s="32"/>
      <c r="R31" s="33"/>
      <c r="S31" s="33"/>
      <c r="T31" s="33"/>
      <c r="U31" s="33"/>
      <c r="V31" s="33"/>
      <c r="W31" s="33"/>
      <c r="X31" s="33"/>
      <c r="Y31" s="33"/>
    </row>
    <row r="32">
      <c r="A32" s="29">
        <v>28.0</v>
      </c>
      <c r="B32" s="81" t="s">
        <v>536</v>
      </c>
      <c r="C32" s="29" t="s">
        <v>375</v>
      </c>
      <c r="D32" s="29" t="s">
        <v>469</v>
      </c>
      <c r="E32" s="90" t="str">
        <f>HYPERLINK("https://www.city.yokkaichi.mie.jp/city-planning/akb/search2.php", "Link to Mie's Prefecture")</f>
        <v>Link to Mie's Prefecture</v>
      </c>
      <c r="F32" s="29" t="s">
        <v>537</v>
      </c>
      <c r="G32" s="31"/>
      <c r="H32" s="31"/>
      <c r="I32" s="31"/>
      <c r="J32" s="29"/>
      <c r="K32" s="29"/>
      <c r="L32" s="29"/>
      <c r="M32" s="31"/>
      <c r="N32" s="31"/>
      <c r="O32" s="32"/>
      <c r="P32" s="32"/>
      <c r="Q32" s="32"/>
      <c r="R32" s="33"/>
      <c r="S32" s="33"/>
      <c r="T32" s="33"/>
      <c r="U32" s="33"/>
      <c r="V32" s="33"/>
      <c r="W32" s="33"/>
      <c r="X32" s="33"/>
      <c r="Y32" s="33"/>
    </row>
    <row r="33">
      <c r="A33" s="22">
        <v>29.0</v>
      </c>
      <c r="B33" s="87" t="s">
        <v>538</v>
      </c>
      <c r="C33" s="22" t="s">
        <v>375</v>
      </c>
      <c r="D33" s="88" t="s">
        <v>290</v>
      </c>
      <c r="E33" s="91" t="str">
        <f>HYPERLINK("https://www.odaitown.jp/kurashi_tetsuzuki/iju_teiju/1/1090.html", "Link to Mie's Prefecture")</f>
        <v>Link to Mie's Prefecture</v>
      </c>
      <c r="F33" s="23"/>
      <c r="G33" s="23"/>
      <c r="H33" s="23"/>
      <c r="I33" s="23"/>
      <c r="J33" s="22"/>
      <c r="K33" s="22"/>
      <c r="L33" s="22"/>
      <c r="M33" s="23"/>
      <c r="N33" s="23"/>
      <c r="O33" s="24"/>
      <c r="P33" s="24"/>
      <c r="Q33" s="24"/>
      <c r="R33" s="25"/>
      <c r="S33" s="25"/>
      <c r="T33" s="25"/>
      <c r="U33" s="25"/>
      <c r="V33" s="25"/>
      <c r="W33" s="25"/>
      <c r="X33" s="25"/>
      <c r="Y33" s="25"/>
    </row>
    <row r="34">
      <c r="A34" s="3"/>
      <c r="B34" s="96"/>
      <c r="C34" s="3"/>
      <c r="D34" s="3"/>
      <c r="E34" s="10"/>
      <c r="F34" s="11"/>
      <c r="G34" s="11"/>
      <c r="H34" s="11"/>
      <c r="I34" s="11"/>
      <c r="J34" s="3"/>
      <c r="K34" s="3"/>
      <c r="L34" s="3"/>
      <c r="M34" s="11"/>
      <c r="N34" s="11"/>
      <c r="O34" s="10"/>
      <c r="P34" s="10"/>
      <c r="Q34" s="10"/>
    </row>
    <row r="35">
      <c r="A35" s="3"/>
      <c r="B35" s="96"/>
      <c r="C35" s="3"/>
      <c r="D35" s="97"/>
      <c r="E35" s="10"/>
      <c r="F35" s="11"/>
      <c r="G35" s="11"/>
      <c r="H35" s="11"/>
      <c r="I35" s="11"/>
      <c r="J35" s="3"/>
      <c r="K35" s="3"/>
      <c r="L35" s="3"/>
      <c r="M35" s="11"/>
      <c r="N35" s="11"/>
      <c r="O35" s="10"/>
      <c r="P35" s="10"/>
      <c r="Q35" s="10"/>
    </row>
    <row r="36">
      <c r="A36" s="3"/>
      <c r="B36" s="96"/>
      <c r="C36" s="3"/>
      <c r="D36" s="3"/>
      <c r="E36" s="10"/>
      <c r="F36" s="11"/>
      <c r="G36" s="11"/>
      <c r="H36" s="11"/>
      <c r="I36" s="11"/>
      <c r="J36" s="3"/>
      <c r="K36" s="3"/>
      <c r="L36" s="3"/>
      <c r="M36" s="11"/>
      <c r="N36" s="11"/>
      <c r="O36" s="10"/>
      <c r="P36" s="10"/>
      <c r="Q36" s="10"/>
    </row>
    <row r="37">
      <c r="A37" s="3"/>
      <c r="B37" s="96"/>
      <c r="C37" s="3"/>
      <c r="D37" s="3"/>
      <c r="E37" s="10"/>
      <c r="F37" s="11"/>
      <c r="G37" s="11"/>
      <c r="H37" s="11"/>
      <c r="I37" s="11"/>
      <c r="J37" s="3"/>
      <c r="K37" s="3"/>
      <c r="L37" s="3"/>
      <c r="M37" s="11"/>
      <c r="N37" s="11"/>
      <c r="O37" s="10"/>
      <c r="P37" s="10"/>
      <c r="Q37" s="10"/>
    </row>
    <row r="38">
      <c r="A38" s="3"/>
      <c r="B38" s="96"/>
      <c r="C38" s="3"/>
      <c r="D38" s="3"/>
      <c r="E38" s="10"/>
      <c r="F38" s="11"/>
      <c r="G38" s="11"/>
      <c r="H38" s="11"/>
      <c r="I38" s="11"/>
      <c r="J38" s="3"/>
      <c r="K38" s="3"/>
      <c r="L38" s="3"/>
      <c r="M38" s="11"/>
      <c r="N38" s="11"/>
      <c r="O38" s="10"/>
      <c r="P38" s="10"/>
      <c r="Q38" s="10"/>
    </row>
    <row r="39">
      <c r="A39" s="3"/>
      <c r="B39" s="96"/>
      <c r="C39" s="3"/>
      <c r="D39" s="3"/>
      <c r="E39" s="10"/>
      <c r="F39" s="11"/>
      <c r="G39" s="11"/>
      <c r="H39" s="11"/>
      <c r="I39" s="11"/>
      <c r="J39" s="3"/>
      <c r="K39" s="3"/>
      <c r="L39" s="3"/>
      <c r="M39" s="11"/>
      <c r="N39" s="11"/>
      <c r="O39" s="10"/>
      <c r="P39" s="10"/>
      <c r="Q39" s="10"/>
    </row>
    <row r="40">
      <c r="A40" s="3"/>
      <c r="B40" s="10"/>
      <c r="C40" s="3"/>
      <c r="D40" s="3"/>
      <c r="E40" s="10"/>
      <c r="F40" s="11"/>
      <c r="G40" s="11"/>
      <c r="H40" s="11"/>
      <c r="I40" s="11"/>
      <c r="J40" s="3"/>
      <c r="K40" s="3"/>
      <c r="L40" s="3"/>
      <c r="M40" s="11"/>
      <c r="N40" s="11"/>
      <c r="O40" s="10"/>
      <c r="P40" s="10"/>
      <c r="Q40" s="10"/>
    </row>
    <row r="41">
      <c r="A41" s="3"/>
      <c r="B41" s="10"/>
      <c r="C41" s="3"/>
      <c r="D41" s="3"/>
      <c r="E41" s="10"/>
      <c r="F41" s="11"/>
      <c r="G41" s="11"/>
      <c r="H41" s="11"/>
      <c r="I41" s="11"/>
      <c r="J41" s="3"/>
      <c r="K41" s="3"/>
      <c r="L41" s="3"/>
      <c r="M41" s="11"/>
      <c r="N41" s="11"/>
    </row>
    <row r="42">
      <c r="A42" s="3"/>
      <c r="B42" s="10"/>
      <c r="C42" s="3"/>
      <c r="D42" s="3"/>
      <c r="E42" s="10"/>
      <c r="F42" s="11"/>
      <c r="G42" s="11"/>
      <c r="H42" s="11"/>
      <c r="I42" s="11"/>
      <c r="J42" s="3"/>
      <c r="K42" s="3"/>
      <c r="L42" s="3"/>
      <c r="M42" s="11"/>
      <c r="N42" s="11"/>
    </row>
    <row r="43">
      <c r="A43" s="3"/>
      <c r="B43" s="10"/>
      <c r="C43" s="3"/>
      <c r="D43" s="3"/>
      <c r="E43" s="10"/>
      <c r="F43" s="11"/>
      <c r="G43" s="11"/>
      <c r="H43" s="11"/>
      <c r="I43" s="11"/>
      <c r="J43" s="3"/>
      <c r="K43" s="3"/>
      <c r="L43" s="3"/>
      <c r="M43" s="11"/>
      <c r="N43" s="11"/>
    </row>
    <row r="44">
      <c r="A44" s="3"/>
      <c r="B44" s="10"/>
      <c r="C44" s="3"/>
      <c r="D44" s="3"/>
      <c r="E44" s="10"/>
      <c r="F44" s="11"/>
      <c r="G44" s="11"/>
      <c r="H44" s="11"/>
      <c r="I44" s="11"/>
      <c r="J44" s="3"/>
      <c r="K44" s="3"/>
      <c r="L44" s="3"/>
      <c r="M44" s="11"/>
      <c r="N44" s="11"/>
    </row>
    <row r="45">
      <c r="A45" s="3"/>
      <c r="B45" s="10"/>
      <c r="C45" s="3"/>
      <c r="D45" s="3"/>
      <c r="E45" s="10"/>
      <c r="F45" s="11"/>
      <c r="G45" s="11"/>
      <c r="H45" s="11"/>
      <c r="I45" s="11"/>
      <c r="J45" s="3"/>
      <c r="K45" s="3"/>
      <c r="L45" s="3"/>
      <c r="M45" s="11"/>
      <c r="N45" s="11"/>
    </row>
    <row r="46">
      <c r="A46" s="3"/>
      <c r="B46" s="10"/>
      <c r="C46" s="3"/>
      <c r="D46" s="3"/>
      <c r="E46" s="10"/>
      <c r="F46" s="11"/>
      <c r="G46" s="11"/>
      <c r="H46" s="11"/>
      <c r="I46" s="11"/>
      <c r="J46" s="3"/>
      <c r="K46" s="3"/>
      <c r="L46" s="3"/>
      <c r="M46" s="11"/>
      <c r="N46" s="11"/>
    </row>
    <row r="47">
      <c r="A47" s="3"/>
      <c r="B47" s="10"/>
      <c r="C47" s="3"/>
      <c r="D47" s="3"/>
      <c r="E47" s="10"/>
      <c r="F47" s="11"/>
      <c r="G47" s="11"/>
      <c r="H47" s="11"/>
      <c r="I47" s="11"/>
      <c r="J47" s="3"/>
      <c r="K47" s="3"/>
      <c r="L47" s="3"/>
      <c r="M47" s="11"/>
      <c r="N47" s="11"/>
    </row>
    <row r="48">
      <c r="A48" s="3"/>
      <c r="B48" s="10"/>
      <c r="C48" s="3"/>
      <c r="D48" s="3"/>
      <c r="E48" s="10"/>
      <c r="F48" s="11"/>
      <c r="G48" s="11"/>
      <c r="H48" s="11"/>
      <c r="I48" s="11"/>
      <c r="J48" s="3"/>
      <c r="K48" s="3"/>
      <c r="L48" s="3"/>
      <c r="M48" s="11"/>
      <c r="N48" s="11"/>
    </row>
    <row r="49">
      <c r="A49" s="3"/>
      <c r="B49" s="10"/>
      <c r="C49" s="3"/>
      <c r="D49" s="3"/>
      <c r="E49" s="10"/>
      <c r="F49" s="11"/>
      <c r="G49" s="11"/>
      <c r="H49" s="11"/>
      <c r="I49" s="11"/>
      <c r="J49" s="3"/>
      <c r="K49" s="3"/>
      <c r="L49" s="3"/>
      <c r="M49" s="11"/>
      <c r="N49" s="11"/>
    </row>
    <row r="50">
      <c r="A50" s="3"/>
      <c r="B50" s="10"/>
      <c r="C50" s="3"/>
      <c r="D50" s="3"/>
      <c r="E50" s="10"/>
      <c r="F50" s="11"/>
      <c r="G50" s="11"/>
      <c r="H50" s="11"/>
      <c r="I50" s="11"/>
      <c r="J50" s="3"/>
      <c r="K50" s="3"/>
      <c r="L50" s="3"/>
      <c r="M50" s="11"/>
      <c r="N50" s="11"/>
    </row>
    <row r="51">
      <c r="A51" s="3"/>
      <c r="B51" s="10"/>
      <c r="C51" s="3"/>
      <c r="D51" s="3"/>
      <c r="E51" s="10"/>
      <c r="F51" s="11"/>
      <c r="G51" s="11"/>
      <c r="H51" s="11"/>
      <c r="I51" s="11"/>
      <c r="J51" s="3"/>
      <c r="K51" s="3"/>
      <c r="L51" s="3"/>
      <c r="M51" s="11"/>
      <c r="N51" s="11"/>
    </row>
    <row r="52">
      <c r="A52" s="3"/>
      <c r="B52" s="10"/>
      <c r="C52" s="3"/>
      <c r="D52" s="3"/>
      <c r="E52" s="10"/>
      <c r="F52" s="11"/>
      <c r="G52" s="11"/>
      <c r="H52" s="11"/>
      <c r="I52" s="11"/>
      <c r="J52" s="3"/>
      <c r="K52" s="3"/>
      <c r="L52" s="3"/>
      <c r="M52" s="11"/>
      <c r="N52" s="11"/>
    </row>
    <row r="53">
      <c r="A53" s="3"/>
      <c r="B53" s="10"/>
      <c r="C53" s="3"/>
      <c r="D53" s="3"/>
      <c r="E53" s="10"/>
      <c r="F53" s="11"/>
      <c r="G53" s="11"/>
      <c r="H53" s="11"/>
      <c r="I53" s="11"/>
      <c r="J53" s="3"/>
      <c r="K53" s="3"/>
      <c r="L53" s="3"/>
      <c r="M53" s="11"/>
      <c r="N53" s="11"/>
    </row>
    <row r="54">
      <c r="A54" s="3"/>
      <c r="B54" s="10"/>
      <c r="C54" s="3"/>
      <c r="D54" s="3"/>
      <c r="E54" s="10"/>
      <c r="F54" s="11"/>
      <c r="G54" s="11"/>
      <c r="H54" s="11"/>
      <c r="I54" s="11"/>
      <c r="J54" s="3"/>
      <c r="K54" s="3"/>
      <c r="L54" s="3"/>
      <c r="M54" s="11"/>
      <c r="N54" s="11"/>
    </row>
    <row r="55">
      <c r="A55" s="3"/>
      <c r="B55" s="10"/>
      <c r="C55" s="3"/>
      <c r="D55" s="3"/>
      <c r="E55" s="10"/>
      <c r="F55" s="11"/>
      <c r="G55" s="11"/>
      <c r="H55" s="11"/>
      <c r="I55" s="11"/>
      <c r="J55" s="3"/>
      <c r="K55" s="3"/>
      <c r="L55" s="3"/>
      <c r="M55" s="11"/>
      <c r="N55" s="11"/>
    </row>
    <row r="56">
      <c r="A56" s="3"/>
      <c r="B56" s="10"/>
      <c r="C56" s="3"/>
      <c r="D56" s="3"/>
      <c r="E56" s="10"/>
      <c r="F56" s="11"/>
      <c r="G56" s="11"/>
      <c r="H56" s="11"/>
      <c r="I56" s="11"/>
      <c r="J56" s="3"/>
      <c r="K56" s="3"/>
      <c r="L56" s="3"/>
      <c r="M56" s="11"/>
      <c r="N56" s="11"/>
    </row>
    <row r="57">
      <c r="A57" s="3"/>
      <c r="B57" s="10"/>
      <c r="C57" s="3"/>
      <c r="D57" s="3"/>
      <c r="E57" s="10"/>
      <c r="F57" s="11"/>
      <c r="G57" s="11"/>
      <c r="H57" s="11"/>
      <c r="I57" s="11"/>
      <c r="J57" s="3"/>
      <c r="K57" s="3"/>
      <c r="L57" s="3"/>
      <c r="M57" s="11"/>
      <c r="N57" s="11"/>
    </row>
    <row r="58">
      <c r="A58" s="3"/>
      <c r="B58" s="10"/>
      <c r="C58" s="3"/>
      <c r="D58" s="3"/>
      <c r="E58" s="10"/>
      <c r="F58" s="11"/>
      <c r="G58" s="11"/>
      <c r="H58" s="11"/>
      <c r="I58" s="11"/>
      <c r="J58" s="3"/>
      <c r="K58" s="3"/>
      <c r="L58" s="3"/>
      <c r="M58" s="11"/>
      <c r="N58" s="11"/>
    </row>
    <row r="59">
      <c r="A59" s="3"/>
      <c r="B59" s="10"/>
      <c r="C59" s="3"/>
      <c r="D59" s="3"/>
      <c r="E59" s="10"/>
      <c r="F59" s="11"/>
      <c r="G59" s="11"/>
      <c r="H59" s="11"/>
      <c r="I59" s="11"/>
      <c r="J59" s="3"/>
      <c r="K59" s="3"/>
      <c r="L59" s="3"/>
      <c r="M59" s="11"/>
      <c r="N59" s="11"/>
    </row>
  </sheetData>
  <hyperlinks>
    <hyperlink r:id="rId1" ref="E24"/>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13"/>
    <col customWidth="1" min="3" max="3" width="15.25"/>
    <col customWidth="1" min="4" max="4" width="26.88"/>
    <col customWidth="1" min="5" max="5" width="39.88"/>
    <col customWidth="1" min="6" max="6" width="18.25"/>
  </cols>
  <sheetData>
    <row r="2">
      <c r="A2" s="2" t="s">
        <v>539</v>
      </c>
      <c r="B2" s="2" t="s">
        <v>259</v>
      </c>
    </row>
    <row r="3">
      <c r="F3" s="3" t="s">
        <v>2</v>
      </c>
      <c r="G3" s="62"/>
    </row>
    <row r="4">
      <c r="A4" s="4" t="s">
        <v>3</v>
      </c>
      <c r="B4" s="4" t="s">
        <v>4</v>
      </c>
      <c r="C4" s="4" t="s">
        <v>5</v>
      </c>
      <c r="D4" s="4" t="s">
        <v>6</v>
      </c>
      <c r="E4" s="4" t="s">
        <v>7</v>
      </c>
      <c r="F4" s="6">
        <v>45323.0</v>
      </c>
      <c r="G4" s="6">
        <v>45352.0</v>
      </c>
      <c r="H4" s="6">
        <v>45383.0</v>
      </c>
      <c r="I4" s="6">
        <v>45413.0</v>
      </c>
      <c r="J4" s="6">
        <v>45444.0</v>
      </c>
      <c r="K4" s="6">
        <v>45474.0</v>
      </c>
      <c r="L4" s="9">
        <v>45505.0</v>
      </c>
      <c r="M4" s="11"/>
      <c r="N4" s="10"/>
      <c r="O4" s="10"/>
      <c r="P4" s="10"/>
      <c r="Q4" s="10"/>
    </row>
    <row r="5">
      <c r="A5" s="34">
        <v>1.0</v>
      </c>
      <c r="B5" s="80" t="s">
        <v>540</v>
      </c>
      <c r="C5" s="34" t="s">
        <v>375</v>
      </c>
      <c r="D5" s="93" t="s">
        <v>130</v>
      </c>
      <c r="E5" s="89" t="str">
        <f>HYPERLINK("https://www.town.aga.niigata.jp/cgi-bin/recruit.php/2/list", "Link to " &amp; "Niigata City " &amp; $B5)</f>
        <v>Link to Niigata City Aga</v>
      </c>
      <c r="F5" s="36"/>
      <c r="G5" s="36"/>
      <c r="H5" s="36"/>
      <c r="I5" s="36"/>
      <c r="J5" s="34"/>
      <c r="K5" s="34"/>
      <c r="L5" s="34"/>
      <c r="M5" s="36"/>
      <c r="N5" s="37"/>
      <c r="O5" s="37"/>
      <c r="P5" s="37"/>
      <c r="Q5" s="37"/>
      <c r="R5" s="38"/>
      <c r="S5" s="38"/>
      <c r="T5" s="38"/>
      <c r="U5" s="38"/>
      <c r="V5" s="38"/>
      <c r="W5" s="38"/>
      <c r="X5" s="38"/>
      <c r="Y5" s="38"/>
    </row>
    <row r="6">
      <c r="A6" s="29">
        <v>2.0</v>
      </c>
      <c r="B6" s="81" t="s">
        <v>541</v>
      </c>
      <c r="C6" s="29" t="s">
        <v>375</v>
      </c>
      <c r="D6" s="29" t="s">
        <v>469</v>
      </c>
      <c r="E6" s="90" t="str">
        <f>HYPERLINK("https://www.city.agano.niigata.jp/soshiki/kensetsuka/ijuokangaenokatahe/1/akiyabukken/index.html", "Link to " &amp; "Niigata City " &amp; $B6)</f>
        <v>Link to Niigata City Agano</v>
      </c>
      <c r="F6" s="29"/>
      <c r="G6" s="31"/>
      <c r="H6" s="31"/>
      <c r="I6" s="31"/>
      <c r="J6" s="29"/>
      <c r="K6" s="29"/>
      <c r="L6" s="29"/>
      <c r="M6" s="31"/>
      <c r="N6" s="32"/>
      <c r="O6" s="32"/>
      <c r="P6" s="32"/>
      <c r="Q6" s="32"/>
      <c r="R6" s="33"/>
      <c r="S6" s="33"/>
      <c r="T6" s="33"/>
      <c r="U6" s="33"/>
      <c r="V6" s="33"/>
      <c r="W6" s="33"/>
      <c r="X6" s="33"/>
      <c r="Y6" s="33"/>
    </row>
    <row r="7">
      <c r="A7" s="34">
        <v>3.0</v>
      </c>
      <c r="B7" s="80" t="s">
        <v>542</v>
      </c>
      <c r="C7" s="34" t="s">
        <v>463</v>
      </c>
      <c r="D7" s="34"/>
      <c r="E7" s="37"/>
      <c r="F7" s="36"/>
      <c r="G7" s="36"/>
      <c r="H7" s="36"/>
      <c r="I7" s="36"/>
      <c r="J7" s="34"/>
      <c r="K7" s="34"/>
      <c r="L7" s="34"/>
      <c r="M7" s="36"/>
      <c r="N7" s="37"/>
      <c r="O7" s="37"/>
      <c r="P7" s="37"/>
      <c r="Q7" s="37"/>
      <c r="R7" s="38"/>
      <c r="S7" s="38"/>
      <c r="T7" s="38"/>
      <c r="U7" s="38"/>
      <c r="V7" s="38"/>
      <c r="W7" s="38"/>
      <c r="X7" s="38"/>
      <c r="Y7" s="38"/>
    </row>
    <row r="8">
      <c r="A8" s="29">
        <v>4.0</v>
      </c>
      <c r="B8" s="81" t="s">
        <v>543</v>
      </c>
      <c r="C8" s="29" t="s">
        <v>375</v>
      </c>
      <c r="D8" s="29" t="s">
        <v>162</v>
      </c>
      <c r="E8" s="90" t="str">
        <f>HYPERLINK("https://www.city.gosen.lg.jp/organization/7/8/1/4391.html", "Link to " &amp; "Niigata City " &amp; $B8)</f>
        <v>Link to Niigata City Gosen</v>
      </c>
      <c r="F8" s="31"/>
      <c r="G8" s="31"/>
      <c r="H8" s="31"/>
      <c r="I8" s="31"/>
      <c r="J8" s="29"/>
      <c r="K8" s="29"/>
      <c r="L8" s="29"/>
      <c r="M8" s="31"/>
      <c r="N8" s="32"/>
      <c r="O8" s="32"/>
      <c r="P8" s="32"/>
      <c r="Q8" s="32"/>
      <c r="R8" s="33"/>
      <c r="S8" s="33"/>
      <c r="T8" s="33"/>
      <c r="U8" s="33"/>
      <c r="V8" s="33"/>
      <c r="W8" s="33"/>
      <c r="X8" s="33"/>
      <c r="Y8" s="33"/>
    </row>
    <row r="9">
      <c r="A9" s="34">
        <v>5.0</v>
      </c>
      <c r="B9" s="80" t="s">
        <v>544</v>
      </c>
      <c r="C9" s="34" t="s">
        <v>375</v>
      </c>
      <c r="D9" s="34" t="s">
        <v>130</v>
      </c>
      <c r="E9" s="89" t="str">
        <f>HYPERLINK("https://iekatsu-itoigawa.com/search/", "Link to " &amp; "Niigata City " &amp; $B9)</f>
        <v>Link to Niigata City Itoigawa</v>
      </c>
      <c r="F9" s="36"/>
      <c r="G9" s="36"/>
      <c r="H9" s="36"/>
      <c r="I9" s="36"/>
      <c r="J9" s="34"/>
      <c r="K9" s="34"/>
      <c r="L9" s="34"/>
      <c r="M9" s="36"/>
      <c r="N9" s="37"/>
      <c r="O9" s="37"/>
      <c r="P9" s="37"/>
      <c r="Q9" s="37"/>
      <c r="R9" s="38"/>
      <c r="S9" s="38"/>
      <c r="T9" s="38"/>
      <c r="U9" s="38"/>
      <c r="V9" s="38"/>
      <c r="W9" s="38"/>
      <c r="X9" s="38"/>
      <c r="Y9" s="38"/>
    </row>
    <row r="10">
      <c r="A10" s="34">
        <v>6.0</v>
      </c>
      <c r="B10" s="80" t="s">
        <v>545</v>
      </c>
      <c r="C10" s="34" t="s">
        <v>375</v>
      </c>
      <c r="D10" s="93" t="s">
        <v>130</v>
      </c>
      <c r="E10" s="89" t="str">
        <f>HYPERLINK("https://goodlife.town.izumozaki.niigata.jp/life/", "Link to " &amp; "Niigata City " &amp; $B10)</f>
        <v>Link to Niigata City Izumozaki</v>
      </c>
      <c r="F10" s="34" t="s">
        <v>124</v>
      </c>
      <c r="G10" s="36"/>
      <c r="H10" s="36"/>
      <c r="I10" s="36"/>
      <c r="J10" s="34"/>
      <c r="K10" s="34"/>
      <c r="L10" s="34"/>
      <c r="M10" s="36"/>
      <c r="N10" s="37"/>
      <c r="O10" s="37"/>
      <c r="P10" s="37"/>
      <c r="Q10" s="37"/>
      <c r="R10" s="38"/>
      <c r="S10" s="38"/>
      <c r="T10" s="38"/>
      <c r="U10" s="38"/>
      <c r="V10" s="38"/>
      <c r="W10" s="38"/>
      <c r="X10" s="38"/>
      <c r="Y10" s="38"/>
    </row>
    <row r="11">
      <c r="A11" s="34">
        <v>7.0</v>
      </c>
      <c r="B11" s="80" t="s">
        <v>546</v>
      </c>
      <c r="C11" s="34" t="s">
        <v>375</v>
      </c>
      <c r="D11" s="34" t="s">
        <v>130</v>
      </c>
      <c r="E11" s="89" t="str">
        <f>HYPERLINK("https://joetsu-akiyabank.jp/archives/realestate/", "Link to " &amp; "Niigata City " &amp; $B11)</f>
        <v>Link to Niigata City Jōetsu</v>
      </c>
      <c r="F11" s="36"/>
      <c r="G11" s="36"/>
      <c r="H11" s="36"/>
      <c r="I11" s="36"/>
      <c r="J11" s="34"/>
      <c r="K11" s="34"/>
      <c r="L11" s="34"/>
      <c r="M11" s="36"/>
      <c r="N11" s="37"/>
      <c r="O11" s="37"/>
      <c r="P11" s="37"/>
      <c r="Q11" s="37"/>
      <c r="R11" s="38"/>
      <c r="S11" s="38"/>
      <c r="T11" s="38"/>
      <c r="U11" s="38"/>
      <c r="V11" s="38"/>
      <c r="W11" s="38"/>
      <c r="X11" s="38"/>
      <c r="Y11" s="38"/>
    </row>
    <row r="12">
      <c r="A12" s="34">
        <v>8.0</v>
      </c>
      <c r="B12" s="80" t="s">
        <v>547</v>
      </c>
      <c r="C12" s="34" t="s">
        <v>375</v>
      </c>
      <c r="D12" s="34" t="s">
        <v>130</v>
      </c>
      <c r="E12" s="89" t="str">
        <f>HYPERLINK("https://www.homes.co.jp/akiyabank/niigata/kamo/", "Link to " &amp; "Niigata City " &amp; $B12)</f>
        <v>Link to Niigata City Kamo</v>
      </c>
      <c r="F12" s="36"/>
      <c r="G12" s="36"/>
      <c r="H12" s="36"/>
      <c r="I12" s="36"/>
      <c r="J12" s="34"/>
      <c r="K12" s="34"/>
      <c r="L12" s="34"/>
      <c r="M12" s="36"/>
      <c r="N12" s="37"/>
      <c r="O12" s="37"/>
      <c r="P12" s="37"/>
      <c r="Q12" s="37"/>
      <c r="R12" s="38"/>
      <c r="S12" s="38"/>
      <c r="T12" s="38"/>
      <c r="U12" s="38"/>
      <c r="V12" s="38"/>
      <c r="W12" s="38"/>
      <c r="X12" s="38"/>
      <c r="Y12" s="38"/>
    </row>
    <row r="13">
      <c r="A13" s="34">
        <v>9.0</v>
      </c>
      <c r="B13" s="80" t="s">
        <v>548</v>
      </c>
      <c r="C13" s="34" t="s">
        <v>375</v>
      </c>
      <c r="D13" s="34" t="s">
        <v>130</v>
      </c>
      <c r="E13" s="89" t="str">
        <f>HYPERLINK("https://www.vill.kariwa.niigata.jp/www/info/detail.jsp?id=5991", "Link to " &amp; "Niigata City " &amp; $B13)</f>
        <v>Link to Niigata City Kariwa</v>
      </c>
      <c r="F13" s="36"/>
      <c r="G13" s="36"/>
      <c r="H13" s="36"/>
      <c r="I13" s="36"/>
      <c r="J13" s="34"/>
      <c r="K13" s="34"/>
      <c r="L13" s="34"/>
      <c r="M13" s="36"/>
      <c r="N13" s="37"/>
      <c r="O13" s="37"/>
      <c r="P13" s="37"/>
      <c r="Q13" s="37"/>
      <c r="R13" s="38"/>
      <c r="S13" s="38"/>
      <c r="T13" s="38"/>
      <c r="U13" s="38"/>
      <c r="V13" s="38"/>
      <c r="W13" s="38"/>
      <c r="X13" s="38"/>
      <c r="Y13" s="38"/>
    </row>
    <row r="14">
      <c r="A14" s="34">
        <v>10.0</v>
      </c>
      <c r="B14" s="80" t="s">
        <v>549</v>
      </c>
      <c r="C14" s="34" t="s">
        <v>463</v>
      </c>
      <c r="D14" s="34"/>
      <c r="E14" s="37"/>
      <c r="F14" s="36"/>
      <c r="G14" s="36"/>
      <c r="H14" s="36"/>
      <c r="I14" s="36"/>
      <c r="J14" s="34"/>
      <c r="K14" s="34"/>
      <c r="L14" s="34"/>
      <c r="M14" s="36"/>
      <c r="N14" s="37"/>
      <c r="O14" s="37"/>
      <c r="P14" s="37"/>
      <c r="Q14" s="37"/>
      <c r="R14" s="38"/>
      <c r="S14" s="38"/>
      <c r="T14" s="38"/>
      <c r="U14" s="38"/>
      <c r="V14" s="38"/>
      <c r="W14" s="38"/>
      <c r="X14" s="38"/>
      <c r="Y14" s="38"/>
    </row>
    <row r="15">
      <c r="A15" s="34">
        <v>11.0</v>
      </c>
      <c r="B15" s="80" t="s">
        <v>550</v>
      </c>
      <c r="C15" s="34" t="s">
        <v>463</v>
      </c>
      <c r="D15" s="34"/>
      <c r="E15" s="37"/>
      <c r="F15" s="36"/>
      <c r="G15" s="36"/>
      <c r="H15" s="36"/>
      <c r="I15" s="36"/>
      <c r="J15" s="34"/>
      <c r="K15" s="34"/>
      <c r="L15" s="34"/>
      <c r="M15" s="36"/>
      <c r="N15" s="37"/>
      <c r="O15" s="37"/>
      <c r="P15" s="37"/>
      <c r="Q15" s="37"/>
      <c r="R15" s="38"/>
      <c r="S15" s="38"/>
      <c r="T15" s="38"/>
      <c r="U15" s="38"/>
      <c r="V15" s="38"/>
      <c r="W15" s="38"/>
      <c r="X15" s="38"/>
      <c r="Y15" s="38"/>
    </row>
    <row r="16">
      <c r="A16" s="34">
        <v>12.0</v>
      </c>
      <c r="B16" s="80" t="s">
        <v>551</v>
      </c>
      <c r="C16" s="34" t="s">
        <v>375</v>
      </c>
      <c r="D16" s="34" t="s">
        <v>130</v>
      </c>
      <c r="E16" s="89" t="str">
        <f>HYPERLINK("https://sumai-mitsuke.com/houselist/", "Link to " &amp; "Niigata City " &amp; $B16)</f>
        <v>Link to Niigata City Mitsuke</v>
      </c>
      <c r="F16" s="36"/>
      <c r="G16" s="36"/>
      <c r="H16" s="36"/>
      <c r="I16" s="36"/>
      <c r="J16" s="34"/>
      <c r="K16" s="34"/>
      <c r="L16" s="34"/>
      <c r="M16" s="36"/>
      <c r="N16" s="37"/>
      <c r="O16" s="37"/>
      <c r="P16" s="37"/>
      <c r="Q16" s="37"/>
      <c r="R16" s="38"/>
      <c r="S16" s="38"/>
      <c r="T16" s="38"/>
      <c r="U16" s="38"/>
      <c r="V16" s="38"/>
      <c r="W16" s="38"/>
      <c r="X16" s="38"/>
      <c r="Y16" s="38"/>
    </row>
    <row r="17">
      <c r="A17" s="29">
        <v>13.0</v>
      </c>
      <c r="B17" s="81" t="s">
        <v>552</v>
      </c>
      <c r="C17" s="29" t="s">
        <v>375</v>
      </c>
      <c r="D17" s="29" t="s">
        <v>162</v>
      </c>
      <c r="E17" s="90" t="str">
        <f>HYPERLINK("https://www.city.murakami.lg.jp/site/akiya-bank/m-akiya-bank-bukken.html", "Link to " &amp; "Niigata City " &amp; $B17)</f>
        <v>Link to Niigata City Murakami</v>
      </c>
      <c r="F17" s="31"/>
      <c r="G17" s="31"/>
      <c r="H17" s="31"/>
      <c r="I17" s="31"/>
      <c r="J17" s="29"/>
      <c r="K17" s="29"/>
      <c r="L17" s="29"/>
      <c r="M17" s="31"/>
      <c r="N17" s="32"/>
      <c r="O17" s="32"/>
      <c r="P17" s="32"/>
      <c r="Q17" s="32"/>
      <c r="R17" s="33"/>
      <c r="S17" s="33"/>
      <c r="T17" s="33"/>
      <c r="U17" s="33"/>
      <c r="V17" s="33"/>
      <c r="W17" s="33"/>
      <c r="X17" s="33"/>
      <c r="Y17" s="33"/>
    </row>
    <row r="18">
      <c r="A18" s="29">
        <v>14.0</v>
      </c>
      <c r="B18" s="81" t="s">
        <v>553</v>
      </c>
      <c r="C18" s="29" t="s">
        <v>375</v>
      </c>
      <c r="D18" s="92" t="s">
        <v>139</v>
      </c>
      <c r="E18" s="90" t="str">
        <f>HYPERLINK("https://www.city.myoko.niigata.jp/myoko-life/house/", "Link to " &amp; "Niigata City " &amp; $B18)</f>
        <v>Link to Niigata City Myōkō</v>
      </c>
      <c r="F18" s="31"/>
      <c r="G18" s="31"/>
      <c r="H18" s="31"/>
      <c r="I18" s="31"/>
      <c r="J18" s="29"/>
      <c r="K18" s="29"/>
      <c r="L18" s="29"/>
      <c r="M18" s="31"/>
      <c r="N18" s="32"/>
      <c r="O18" s="32"/>
      <c r="P18" s="32"/>
      <c r="Q18" s="32"/>
      <c r="R18" s="33"/>
      <c r="S18" s="33"/>
      <c r="T18" s="33"/>
      <c r="U18" s="33"/>
      <c r="V18" s="33"/>
      <c r="W18" s="33"/>
      <c r="X18" s="33"/>
      <c r="Y18" s="33"/>
    </row>
    <row r="19">
      <c r="A19" s="34">
        <v>15.0</v>
      </c>
      <c r="B19" s="80" t="s">
        <v>554</v>
      </c>
      <c r="C19" s="34" t="s">
        <v>375</v>
      </c>
      <c r="D19" s="93" t="s">
        <v>130</v>
      </c>
      <c r="E19" s="89" t="str">
        <f>HYPERLINK("https://www.city.nagaoka.niigata.jp/akiya/kensaku.html", "Link to " &amp; "Niigata City " &amp; $B19)</f>
        <v>Link to Niigata City Nagaoka</v>
      </c>
      <c r="F19" s="36"/>
      <c r="G19" s="36"/>
      <c r="H19" s="36"/>
      <c r="I19" s="36"/>
      <c r="J19" s="34"/>
      <c r="K19" s="34"/>
      <c r="L19" s="34"/>
      <c r="M19" s="36"/>
      <c r="N19" s="37"/>
      <c r="O19" s="37"/>
      <c r="P19" s="37"/>
      <c r="Q19" s="37"/>
      <c r="R19" s="38"/>
      <c r="S19" s="38"/>
      <c r="T19" s="38"/>
      <c r="U19" s="38"/>
      <c r="V19" s="38"/>
      <c r="W19" s="38"/>
      <c r="X19" s="38"/>
      <c r="Y19" s="38"/>
    </row>
    <row r="20">
      <c r="A20" s="34">
        <v>16.0</v>
      </c>
      <c r="B20" s="80" t="s">
        <v>539</v>
      </c>
      <c r="C20" s="34" t="s">
        <v>375</v>
      </c>
      <c r="D20" s="93" t="s">
        <v>130</v>
      </c>
      <c r="E20" s="89" t="str">
        <f>HYPERLINK("https://niigatakurashi.com/akiya-search/?clear=1#search", "Link to " &amp; "Niigata City " &amp; $B20)</f>
        <v>Link to Niigata City Niigata</v>
      </c>
      <c r="F20" s="36"/>
      <c r="G20" s="36"/>
      <c r="H20" s="36"/>
      <c r="I20" s="36"/>
      <c r="J20" s="34"/>
      <c r="K20" s="34"/>
      <c r="L20" s="34"/>
      <c r="M20" s="36"/>
      <c r="N20" s="37"/>
      <c r="O20" s="37"/>
      <c r="P20" s="37"/>
      <c r="Q20" s="37"/>
      <c r="R20" s="38"/>
      <c r="S20" s="38"/>
      <c r="T20" s="38"/>
      <c r="U20" s="38"/>
      <c r="V20" s="38"/>
      <c r="W20" s="38"/>
      <c r="X20" s="38"/>
      <c r="Y20" s="38"/>
    </row>
    <row r="21">
      <c r="A21" s="29">
        <v>17.0</v>
      </c>
      <c r="B21" s="81" t="s">
        <v>555</v>
      </c>
      <c r="C21" s="29" t="s">
        <v>375</v>
      </c>
      <c r="D21" s="29" t="s">
        <v>139</v>
      </c>
      <c r="E21" s="90" t="str">
        <f>HYPERLINK("https://www.city.ojiya.niigata.jp/site/iju/akiyabank-bukken.html#1", "Link to " &amp; "Niigata City " &amp; $B21)</f>
        <v>Link to Niigata City Ojiya</v>
      </c>
      <c r="F21" s="31"/>
      <c r="G21" s="31"/>
      <c r="H21" s="31"/>
      <c r="I21" s="31"/>
      <c r="J21" s="29"/>
      <c r="K21" s="29"/>
      <c r="L21" s="29"/>
      <c r="M21" s="31"/>
      <c r="N21" s="32"/>
      <c r="O21" s="32"/>
      <c r="P21" s="32"/>
      <c r="Q21" s="32"/>
      <c r="R21" s="33"/>
      <c r="S21" s="33"/>
      <c r="T21" s="33"/>
      <c r="U21" s="33"/>
      <c r="V21" s="33"/>
      <c r="W21" s="33"/>
      <c r="X21" s="33"/>
      <c r="Y21" s="33"/>
    </row>
    <row r="22">
      <c r="A22" s="29">
        <v>18.0</v>
      </c>
      <c r="B22" s="81" t="s">
        <v>556</v>
      </c>
      <c r="C22" s="29" t="s">
        <v>375</v>
      </c>
      <c r="D22" s="92" t="s">
        <v>493</v>
      </c>
      <c r="E22" s="90" t="str">
        <f>HYPERLINK("https://www.city.sado.niigata.jp/site/ijyu/5419.html#11", "Link to " &amp; "Niigata City " &amp; $B22)</f>
        <v>Link to Niigata City Sado</v>
      </c>
      <c r="F22" s="31"/>
      <c r="G22" s="31"/>
      <c r="H22" s="31"/>
      <c r="I22" s="31"/>
      <c r="J22" s="29"/>
      <c r="K22" s="29"/>
      <c r="L22" s="29"/>
      <c r="M22" s="31"/>
      <c r="N22" s="32"/>
      <c r="O22" s="32"/>
      <c r="P22" s="32"/>
      <c r="Q22" s="32"/>
      <c r="R22" s="33"/>
      <c r="S22" s="33"/>
      <c r="T22" s="33"/>
      <c r="U22" s="33"/>
      <c r="V22" s="33"/>
      <c r="W22" s="33"/>
      <c r="X22" s="33"/>
      <c r="Y22" s="33"/>
    </row>
    <row r="23">
      <c r="A23" s="34">
        <v>19.0</v>
      </c>
      <c r="B23" s="80" t="s">
        <v>557</v>
      </c>
      <c r="C23" s="34" t="s">
        <v>375</v>
      </c>
      <c r="D23" s="34" t="s">
        <v>130</v>
      </c>
      <c r="E23" s="89" t="str">
        <f>HYPERLINK("https://sanjo-akiyabank.jp/property/", "Link to " &amp; "Niigata City " &amp; $B23)</f>
        <v>Link to Niigata City Sanjō</v>
      </c>
      <c r="F23" s="36"/>
      <c r="G23" s="36"/>
      <c r="H23" s="36"/>
      <c r="I23" s="36"/>
      <c r="J23" s="34"/>
      <c r="K23" s="34"/>
      <c r="L23" s="34"/>
      <c r="M23" s="36"/>
      <c r="N23" s="37"/>
      <c r="O23" s="37"/>
      <c r="P23" s="37"/>
      <c r="Q23" s="37"/>
      <c r="R23" s="38"/>
      <c r="S23" s="38"/>
      <c r="T23" s="38"/>
      <c r="U23" s="38"/>
      <c r="V23" s="38"/>
      <c r="W23" s="38"/>
      <c r="X23" s="38"/>
      <c r="Y23" s="38"/>
    </row>
    <row r="24">
      <c r="A24" s="34">
        <v>20.0</v>
      </c>
      <c r="B24" s="80" t="s">
        <v>558</v>
      </c>
      <c r="C24" s="34" t="s">
        <v>375</v>
      </c>
      <c r="D24" s="34" t="s">
        <v>130</v>
      </c>
      <c r="E24" s="89" t="str">
        <f>HYPERLINK("https://www.town.seiro.niigata.jp/sousei/07akiyabank.html", "Link to " &amp; "Niigata City " &amp; $B24)</f>
        <v>Link to Niigata City Seirō</v>
      </c>
      <c r="F24" s="34"/>
      <c r="G24" s="36"/>
      <c r="H24" s="36"/>
      <c r="I24" s="36"/>
      <c r="J24" s="34"/>
      <c r="K24" s="34"/>
      <c r="L24" s="34"/>
      <c r="M24" s="36"/>
      <c r="N24" s="37"/>
      <c r="O24" s="37"/>
      <c r="P24" s="37"/>
      <c r="Q24" s="37"/>
      <c r="R24" s="38"/>
      <c r="S24" s="38"/>
      <c r="T24" s="38"/>
      <c r="U24" s="38"/>
      <c r="V24" s="38"/>
      <c r="W24" s="38"/>
      <c r="X24" s="38"/>
      <c r="Y24" s="38"/>
    </row>
    <row r="25">
      <c r="A25" s="29">
        <v>21.0</v>
      </c>
      <c r="B25" s="81" t="s">
        <v>559</v>
      </c>
      <c r="C25" s="29" t="s">
        <v>375</v>
      </c>
      <c r="D25" s="29" t="s">
        <v>162</v>
      </c>
      <c r="E25" s="90" t="str">
        <f>HYPERLINK("http://www.vill.sekikawa.niigata.jp/life/13/696/index.html", "Link to " &amp; "Niigata City " &amp; $B25)</f>
        <v>Link to Niigata City Sekikawa</v>
      </c>
      <c r="F25" s="31"/>
      <c r="G25" s="29"/>
      <c r="H25" s="31"/>
      <c r="I25" s="31"/>
      <c r="J25" s="29"/>
      <c r="K25" s="29"/>
      <c r="L25" s="29"/>
      <c r="M25" s="31"/>
      <c r="N25" s="32"/>
      <c r="O25" s="32"/>
      <c r="P25" s="32"/>
      <c r="Q25" s="32"/>
      <c r="R25" s="33"/>
      <c r="S25" s="33"/>
      <c r="T25" s="33"/>
      <c r="U25" s="33"/>
      <c r="V25" s="33"/>
      <c r="W25" s="33"/>
      <c r="X25" s="33"/>
      <c r="Y25" s="33"/>
    </row>
    <row r="26">
      <c r="A26" s="29">
        <v>22.0</v>
      </c>
      <c r="B26" s="81" t="s">
        <v>480</v>
      </c>
      <c r="C26" s="29" t="s">
        <v>375</v>
      </c>
      <c r="D26" s="29" t="s">
        <v>493</v>
      </c>
      <c r="E26" s="90" t="str">
        <f>HYPERLINK("https://www.city.shibata.lg.jp/kurashi/iju/akiya/index.html", "Link to " &amp; "Niigata City " &amp; $B26)</f>
        <v>Link to Niigata City Shibata</v>
      </c>
      <c r="F26" s="31"/>
      <c r="G26" s="31"/>
      <c r="H26" s="31"/>
      <c r="I26" s="31"/>
      <c r="J26" s="29"/>
      <c r="K26" s="29"/>
      <c r="L26" s="29"/>
      <c r="M26" s="31"/>
      <c r="N26" s="32"/>
      <c r="O26" s="32"/>
      <c r="P26" s="32"/>
      <c r="Q26" s="32"/>
      <c r="R26" s="33"/>
      <c r="S26" s="33"/>
      <c r="T26" s="33"/>
      <c r="U26" s="33"/>
      <c r="V26" s="33"/>
      <c r="W26" s="33"/>
      <c r="X26" s="33"/>
      <c r="Y26" s="33"/>
    </row>
    <row r="27">
      <c r="A27" s="29">
        <v>23.0</v>
      </c>
      <c r="B27" s="81" t="s">
        <v>560</v>
      </c>
      <c r="C27" s="29" t="s">
        <v>375</v>
      </c>
      <c r="D27" s="29" t="s">
        <v>162</v>
      </c>
      <c r="E27" s="90" t="str">
        <f>HYPERLINK("https://www.town.tagami.niigata.jp/docs/12292.html", "Link to " &amp; "Niigata City " &amp; $B27)</f>
        <v>Link to Niigata City Tagami</v>
      </c>
      <c r="F27" s="31"/>
      <c r="G27" s="31"/>
      <c r="H27" s="31"/>
      <c r="I27" s="31"/>
      <c r="J27" s="29"/>
      <c r="K27" s="29"/>
      <c r="L27" s="29"/>
      <c r="M27" s="31"/>
      <c r="N27" s="32"/>
      <c r="O27" s="32"/>
      <c r="P27" s="32"/>
      <c r="Q27" s="32"/>
      <c r="R27" s="33"/>
      <c r="S27" s="33"/>
      <c r="T27" s="33"/>
      <c r="U27" s="33"/>
      <c r="V27" s="33"/>
      <c r="W27" s="33"/>
      <c r="X27" s="33"/>
      <c r="Y27" s="33"/>
    </row>
    <row r="28">
      <c r="A28" s="34">
        <v>24.0</v>
      </c>
      <c r="B28" s="80" t="s">
        <v>561</v>
      </c>
      <c r="C28" s="34" t="s">
        <v>375</v>
      </c>
      <c r="D28" s="34" t="s">
        <v>130</v>
      </c>
      <c r="E28" s="89" t="str">
        <f>HYPERLINK("https://www.city.tainai.niigata.jp/shiyakusho/akiyabank/index.html", "Link to " &amp; "Niigata City " &amp; $B28)</f>
        <v>Link to Niigata City Tainai</v>
      </c>
      <c r="F28" s="36"/>
      <c r="G28" s="36"/>
      <c r="H28" s="36"/>
      <c r="I28" s="36"/>
      <c r="J28" s="34"/>
      <c r="K28" s="34"/>
      <c r="L28" s="34"/>
      <c r="M28" s="36"/>
      <c r="N28" s="37"/>
      <c r="O28" s="37"/>
      <c r="P28" s="37"/>
      <c r="Q28" s="37"/>
      <c r="R28" s="38"/>
      <c r="S28" s="38"/>
      <c r="T28" s="38"/>
      <c r="U28" s="38"/>
      <c r="V28" s="38"/>
      <c r="W28" s="38"/>
      <c r="X28" s="38"/>
      <c r="Y28" s="38"/>
    </row>
    <row r="29">
      <c r="A29" s="29">
        <v>25.0</v>
      </c>
      <c r="B29" s="81" t="s">
        <v>562</v>
      </c>
      <c r="C29" s="29" t="s">
        <v>375</v>
      </c>
      <c r="D29" s="29" t="s">
        <v>139</v>
      </c>
      <c r="E29" s="90" t="str">
        <f>HYPERLINK("https://www.city.tsubame.niigata.jp/cgi-bin/recruit.php/3/list", "Link to " &amp; "Niigata City " &amp; $B29)</f>
        <v>Link to Niigata City Tsubame</v>
      </c>
      <c r="F29" s="31"/>
      <c r="G29" s="31"/>
      <c r="H29" s="31"/>
      <c r="I29" s="31"/>
      <c r="J29" s="29"/>
      <c r="K29" s="29"/>
      <c r="L29" s="29"/>
      <c r="M29" s="31"/>
      <c r="N29" s="32"/>
      <c r="O29" s="32"/>
      <c r="P29" s="32"/>
      <c r="Q29" s="32"/>
      <c r="R29" s="33"/>
      <c r="S29" s="33"/>
      <c r="T29" s="33"/>
      <c r="U29" s="33"/>
      <c r="V29" s="33"/>
      <c r="W29" s="33"/>
      <c r="X29" s="33"/>
      <c r="Y29" s="33"/>
    </row>
    <row r="30">
      <c r="A30" s="34">
        <v>26.0</v>
      </c>
      <c r="B30" s="80" t="s">
        <v>563</v>
      </c>
      <c r="C30" s="34" t="s">
        <v>375</v>
      </c>
      <c r="D30" s="34" t="s">
        <v>130</v>
      </c>
      <c r="E30" s="89" t="str">
        <f>HYPERLINK("https://iju-tsunan.org/category/akiya/", "Link to " &amp; "Niigata City " &amp; $B30)</f>
        <v>Link to Niigata City Tsunan</v>
      </c>
      <c r="F30" s="36"/>
      <c r="G30" s="36"/>
      <c r="H30" s="36"/>
      <c r="I30" s="36"/>
      <c r="J30" s="34"/>
      <c r="K30" s="34"/>
      <c r="L30" s="34"/>
      <c r="M30" s="36"/>
      <c r="N30" s="37"/>
      <c r="O30" s="37"/>
      <c r="P30" s="37"/>
      <c r="Q30" s="37"/>
      <c r="R30" s="38"/>
      <c r="S30" s="38"/>
      <c r="T30" s="38"/>
      <c r="U30" s="38"/>
      <c r="V30" s="38"/>
      <c r="W30" s="38"/>
      <c r="X30" s="38"/>
      <c r="Y30" s="38"/>
    </row>
    <row r="31">
      <c r="A31" s="22">
        <v>27.0</v>
      </c>
      <c r="B31" s="87" t="s">
        <v>564</v>
      </c>
      <c r="C31" s="22" t="s">
        <v>375</v>
      </c>
      <c r="D31" s="22" t="s">
        <v>510</v>
      </c>
      <c r="E31" s="91" t="str">
        <f>HYPERLINK("https://www.city.tokamachi.lg.jp/iju/sumai/akiyabank/index.html", "Link to " &amp; "Niigata City " &amp; $B31)</f>
        <v>Link to Niigata City Tōkamachi</v>
      </c>
      <c r="F31" s="23"/>
      <c r="G31" s="23"/>
      <c r="H31" s="23"/>
      <c r="I31" s="23"/>
      <c r="J31" s="22"/>
      <c r="K31" s="22"/>
      <c r="L31" s="22"/>
      <c r="M31" s="23"/>
      <c r="N31" s="23"/>
      <c r="O31" s="24"/>
      <c r="P31" s="24"/>
      <c r="Q31" s="24"/>
      <c r="R31" s="25"/>
      <c r="S31" s="25"/>
      <c r="T31" s="25"/>
      <c r="U31" s="25"/>
      <c r="V31" s="25"/>
      <c r="W31" s="25"/>
      <c r="X31" s="25"/>
      <c r="Y31" s="25"/>
    </row>
    <row r="32">
      <c r="A32" s="34">
        <v>28.0</v>
      </c>
      <c r="B32" s="80" t="s">
        <v>565</v>
      </c>
      <c r="C32" s="34" t="s">
        <v>463</v>
      </c>
      <c r="D32" s="34"/>
      <c r="E32" s="37"/>
      <c r="F32" s="36"/>
      <c r="G32" s="36"/>
      <c r="H32" s="36"/>
      <c r="I32" s="36"/>
      <c r="J32" s="34"/>
      <c r="K32" s="34"/>
      <c r="L32" s="34"/>
      <c r="M32" s="36"/>
      <c r="N32" s="36"/>
      <c r="O32" s="37"/>
      <c r="P32" s="37"/>
      <c r="Q32" s="37"/>
      <c r="R32" s="38"/>
      <c r="S32" s="38"/>
      <c r="T32" s="38"/>
      <c r="U32" s="38"/>
      <c r="V32" s="38"/>
      <c r="W32" s="38"/>
      <c r="X32" s="38"/>
      <c r="Y32" s="38"/>
    </row>
    <row r="33">
      <c r="A33" s="34">
        <v>29.0</v>
      </c>
      <c r="B33" s="80" t="s">
        <v>566</v>
      </c>
      <c r="C33" s="34" t="s">
        <v>375</v>
      </c>
      <c r="D33" s="93" t="s">
        <v>130</v>
      </c>
      <c r="E33" s="89" t="str">
        <f>HYPERLINK("https://akiya.vill.yahiko.niigata.jp/", "Link to " &amp; "Niigata City " &amp; $B33)</f>
        <v>Link to Niigata City Yahiko</v>
      </c>
      <c r="F33" s="36"/>
      <c r="G33" s="36"/>
      <c r="H33" s="36"/>
      <c r="I33" s="36"/>
      <c r="J33" s="34"/>
      <c r="K33" s="34"/>
      <c r="L33" s="34"/>
      <c r="M33" s="36"/>
      <c r="N33" s="36"/>
      <c r="O33" s="37"/>
      <c r="P33" s="37"/>
      <c r="Q33" s="37"/>
      <c r="R33" s="38"/>
      <c r="S33" s="38"/>
      <c r="T33" s="38"/>
      <c r="U33" s="38"/>
      <c r="V33" s="38"/>
      <c r="W33" s="38"/>
      <c r="X33" s="38"/>
      <c r="Y33" s="38"/>
    </row>
    <row r="34">
      <c r="A34" s="22">
        <v>30.0</v>
      </c>
      <c r="B34" s="87" t="s">
        <v>567</v>
      </c>
      <c r="C34" s="22" t="s">
        <v>375</v>
      </c>
      <c r="D34" s="22" t="s">
        <v>510</v>
      </c>
      <c r="E34" s="91" t="str">
        <f>HYPERLINK("https://livelife.town.yuzawa.lg.jp/#living", "Link to " &amp; "Niigata City " &amp; $B34)</f>
        <v>Link to Niigata City Yuzawa</v>
      </c>
      <c r="F34" s="23"/>
      <c r="G34" s="23"/>
      <c r="H34" s="23"/>
      <c r="I34" s="23"/>
      <c r="J34" s="22"/>
      <c r="K34" s="22"/>
      <c r="L34" s="22"/>
      <c r="M34" s="23"/>
      <c r="N34" s="23"/>
      <c r="O34" s="24"/>
      <c r="P34" s="24"/>
      <c r="Q34" s="24"/>
      <c r="R34" s="25"/>
      <c r="S34" s="25"/>
      <c r="T34" s="25"/>
      <c r="U34" s="25"/>
      <c r="V34" s="25"/>
      <c r="W34" s="25"/>
      <c r="X34" s="25"/>
      <c r="Y34" s="25"/>
    </row>
    <row r="35">
      <c r="A35" s="3"/>
      <c r="B35" s="96"/>
      <c r="C35" s="3"/>
      <c r="D35" s="97"/>
      <c r="E35" s="10"/>
      <c r="F35" s="11"/>
      <c r="G35" s="11"/>
      <c r="H35" s="11"/>
      <c r="I35" s="11"/>
      <c r="J35" s="3"/>
      <c r="K35" s="3"/>
      <c r="L35" s="3"/>
      <c r="M35" s="11"/>
      <c r="N35" s="11"/>
      <c r="O35" s="10"/>
      <c r="P35" s="10"/>
      <c r="Q35" s="10"/>
    </row>
    <row r="36">
      <c r="A36" s="3"/>
      <c r="B36" s="96"/>
      <c r="C36" s="3"/>
      <c r="D36" s="3"/>
      <c r="E36" s="10"/>
      <c r="F36" s="11"/>
      <c r="G36" s="11"/>
      <c r="H36" s="11"/>
      <c r="I36" s="11"/>
      <c r="J36" s="3"/>
      <c r="K36" s="3"/>
      <c r="L36" s="3"/>
      <c r="M36" s="11"/>
      <c r="N36" s="11"/>
      <c r="O36" s="10"/>
      <c r="P36" s="10"/>
      <c r="Q36" s="10"/>
    </row>
    <row r="37">
      <c r="A37" s="3"/>
      <c r="B37" s="96"/>
      <c r="C37" s="3"/>
      <c r="D37" s="3"/>
      <c r="E37" s="10"/>
      <c r="F37" s="11"/>
      <c r="G37" s="11"/>
      <c r="H37" s="11"/>
      <c r="I37" s="11"/>
      <c r="J37" s="3"/>
      <c r="K37" s="3"/>
      <c r="L37" s="3"/>
      <c r="M37" s="11"/>
      <c r="N37" s="11"/>
      <c r="O37" s="10"/>
      <c r="P37" s="10"/>
      <c r="Q37" s="10"/>
    </row>
    <row r="38">
      <c r="A38" s="3"/>
      <c r="B38" s="96"/>
      <c r="C38" s="3"/>
      <c r="D38" s="3"/>
      <c r="E38" s="10"/>
      <c r="F38" s="11"/>
      <c r="G38" s="11"/>
      <c r="H38" s="11"/>
      <c r="I38" s="11"/>
      <c r="J38" s="3"/>
      <c r="K38" s="3"/>
      <c r="L38" s="3"/>
      <c r="M38" s="11"/>
      <c r="N38" s="11"/>
      <c r="O38" s="10"/>
      <c r="P38" s="10"/>
      <c r="Q38" s="10"/>
    </row>
    <row r="39">
      <c r="A39" s="3"/>
      <c r="B39" s="96"/>
      <c r="C39" s="3"/>
      <c r="D39" s="3"/>
      <c r="E39" s="10"/>
      <c r="F39" s="11"/>
      <c r="G39" s="11"/>
      <c r="H39" s="11"/>
      <c r="I39" s="11"/>
      <c r="J39" s="3"/>
      <c r="K39" s="3"/>
      <c r="L39" s="3"/>
      <c r="M39" s="11"/>
      <c r="N39" s="11"/>
      <c r="O39" s="10"/>
      <c r="P39" s="10"/>
      <c r="Q39" s="10"/>
    </row>
    <row r="40">
      <c r="A40" s="3"/>
      <c r="B40" s="10"/>
      <c r="C40" s="3"/>
      <c r="D40" s="3"/>
      <c r="E40" s="10"/>
      <c r="F40" s="11"/>
      <c r="G40" s="11"/>
      <c r="H40" s="11"/>
      <c r="I40" s="11"/>
      <c r="J40" s="3"/>
      <c r="K40" s="3"/>
      <c r="L40" s="3"/>
      <c r="M40" s="11"/>
      <c r="N40" s="11"/>
      <c r="O40" s="10"/>
      <c r="P40" s="10"/>
      <c r="Q40" s="10"/>
    </row>
    <row r="41">
      <c r="A41" s="3"/>
      <c r="B41" s="10"/>
      <c r="C41" s="3"/>
      <c r="D41" s="3"/>
      <c r="E41" s="10"/>
      <c r="F41" s="11"/>
      <c r="G41" s="11"/>
      <c r="H41" s="11"/>
      <c r="I41" s="11"/>
      <c r="J41" s="3"/>
      <c r="K41" s="3"/>
      <c r="L41" s="3"/>
      <c r="M41" s="11"/>
      <c r="N41" s="11"/>
    </row>
    <row r="42">
      <c r="A42" s="3"/>
      <c r="B42" s="10"/>
      <c r="C42" s="3"/>
      <c r="D42" s="3"/>
      <c r="E42" s="10"/>
      <c r="F42" s="11"/>
      <c r="G42" s="11"/>
      <c r="H42" s="11"/>
      <c r="I42" s="11"/>
      <c r="J42" s="3"/>
      <c r="K42" s="3"/>
      <c r="L42" s="3"/>
      <c r="M42" s="11"/>
      <c r="N42" s="11"/>
    </row>
    <row r="43">
      <c r="A43" s="3"/>
      <c r="B43" s="10"/>
      <c r="C43" s="3"/>
      <c r="D43" s="3"/>
      <c r="E43" s="10"/>
      <c r="F43" s="11"/>
      <c r="G43" s="11"/>
      <c r="H43" s="11"/>
      <c r="I43" s="11"/>
      <c r="J43" s="3"/>
      <c r="K43" s="3"/>
      <c r="L43" s="3"/>
      <c r="M43" s="11"/>
      <c r="N43" s="11"/>
    </row>
    <row r="44">
      <c r="A44" s="3"/>
      <c r="B44" s="10"/>
      <c r="C44" s="3"/>
      <c r="D44" s="3"/>
      <c r="E44" s="10"/>
      <c r="F44" s="11"/>
      <c r="G44" s="11"/>
      <c r="H44" s="11"/>
      <c r="I44" s="11"/>
      <c r="J44" s="3"/>
      <c r="K44" s="3"/>
      <c r="L44" s="3"/>
      <c r="M44" s="11"/>
      <c r="N44" s="11"/>
    </row>
    <row r="45">
      <c r="A45" s="3"/>
      <c r="B45" s="10"/>
      <c r="C45" s="3"/>
      <c r="D45" s="3"/>
      <c r="E45" s="10"/>
      <c r="F45" s="11"/>
      <c r="G45" s="11"/>
      <c r="H45" s="11"/>
      <c r="I45" s="11"/>
      <c r="J45" s="3"/>
      <c r="K45" s="3"/>
      <c r="L45" s="3"/>
      <c r="M45" s="11"/>
      <c r="N45" s="11"/>
    </row>
    <row r="46">
      <c r="A46" s="3"/>
      <c r="B46" s="10"/>
      <c r="C46" s="3"/>
      <c r="D46" s="3"/>
      <c r="E46" s="10"/>
      <c r="F46" s="11"/>
      <c r="G46" s="11"/>
      <c r="H46" s="11"/>
      <c r="I46" s="11"/>
      <c r="J46" s="3"/>
      <c r="K46" s="3"/>
      <c r="L46" s="3"/>
      <c r="M46" s="11"/>
      <c r="N46" s="11"/>
    </row>
    <row r="47">
      <c r="A47" s="3"/>
      <c r="B47" s="10"/>
      <c r="C47" s="3"/>
      <c r="D47" s="3"/>
      <c r="E47" s="10"/>
      <c r="F47" s="11"/>
      <c r="G47" s="11"/>
      <c r="H47" s="11"/>
      <c r="I47" s="11"/>
      <c r="J47" s="3"/>
      <c r="K47" s="3"/>
      <c r="L47" s="3"/>
      <c r="M47" s="11"/>
      <c r="N47" s="11"/>
    </row>
    <row r="48">
      <c r="A48" s="3"/>
      <c r="B48" s="10"/>
      <c r="C48" s="3"/>
      <c r="D48" s="3"/>
      <c r="E48" s="10"/>
      <c r="F48" s="11"/>
      <c r="G48" s="11"/>
      <c r="H48" s="11"/>
      <c r="I48" s="11"/>
      <c r="J48" s="3"/>
      <c r="K48" s="3"/>
      <c r="L48" s="3"/>
      <c r="M48" s="11"/>
      <c r="N48" s="11"/>
    </row>
    <row r="49">
      <c r="A49" s="3"/>
      <c r="B49" s="10"/>
      <c r="C49" s="3"/>
      <c r="D49" s="3"/>
      <c r="E49" s="10"/>
      <c r="F49" s="11"/>
      <c r="G49" s="11"/>
      <c r="H49" s="11"/>
      <c r="I49" s="11"/>
      <c r="J49" s="3"/>
      <c r="K49" s="3"/>
      <c r="L49" s="3"/>
      <c r="M49" s="11"/>
      <c r="N49" s="11"/>
    </row>
    <row r="50">
      <c r="A50" s="3"/>
      <c r="B50" s="10"/>
      <c r="C50" s="3"/>
      <c r="D50" s="3"/>
      <c r="E50" s="10"/>
      <c r="F50" s="11"/>
      <c r="G50" s="11"/>
      <c r="H50" s="11"/>
      <c r="I50" s="11"/>
      <c r="J50" s="3"/>
      <c r="K50" s="3"/>
      <c r="L50" s="3"/>
      <c r="M50" s="11"/>
      <c r="N50" s="11"/>
    </row>
    <row r="51">
      <c r="A51" s="3"/>
      <c r="B51" s="10"/>
      <c r="C51" s="3"/>
      <c r="D51" s="3"/>
      <c r="E51" s="10"/>
      <c r="F51" s="11"/>
      <c r="G51" s="11"/>
      <c r="H51" s="11"/>
      <c r="I51" s="11"/>
      <c r="J51" s="3"/>
      <c r="K51" s="3"/>
      <c r="L51" s="3"/>
      <c r="M51" s="11"/>
      <c r="N51" s="11"/>
    </row>
    <row r="52">
      <c r="A52" s="3"/>
      <c r="B52" s="10"/>
      <c r="C52" s="3"/>
      <c r="D52" s="3"/>
      <c r="E52" s="10"/>
      <c r="F52" s="11"/>
      <c r="G52" s="11"/>
      <c r="H52" s="11"/>
      <c r="I52" s="11"/>
      <c r="J52" s="3"/>
      <c r="K52" s="3"/>
      <c r="L52" s="3"/>
      <c r="M52" s="11"/>
      <c r="N52" s="11"/>
    </row>
    <row r="53">
      <c r="A53" s="3"/>
      <c r="B53" s="10"/>
      <c r="C53" s="3"/>
      <c r="D53" s="3"/>
      <c r="E53" s="10"/>
      <c r="F53" s="11"/>
      <c r="G53" s="11"/>
      <c r="H53" s="11"/>
      <c r="I53" s="11"/>
      <c r="J53" s="3"/>
      <c r="K53" s="3"/>
      <c r="L53" s="3"/>
      <c r="M53" s="11"/>
      <c r="N53" s="11"/>
    </row>
    <row r="54">
      <c r="A54" s="3"/>
      <c r="B54" s="10"/>
      <c r="C54" s="3"/>
      <c r="D54" s="3"/>
      <c r="E54" s="10"/>
      <c r="F54" s="11"/>
      <c r="G54" s="11"/>
      <c r="H54" s="11"/>
      <c r="I54" s="11"/>
      <c r="J54" s="3"/>
      <c r="K54" s="3"/>
      <c r="L54" s="3"/>
      <c r="M54" s="11"/>
      <c r="N54" s="11"/>
    </row>
    <row r="55">
      <c r="A55" s="3"/>
      <c r="B55" s="10"/>
      <c r="C55" s="3"/>
      <c r="D55" s="3"/>
      <c r="E55" s="10"/>
      <c r="F55" s="11"/>
      <c r="G55" s="11"/>
      <c r="H55" s="11"/>
      <c r="I55" s="11"/>
      <c r="J55" s="3"/>
      <c r="K55" s="3"/>
      <c r="L55" s="3"/>
      <c r="M55" s="11"/>
      <c r="N55" s="11"/>
    </row>
    <row r="56">
      <c r="A56" s="3"/>
      <c r="B56" s="10"/>
      <c r="C56" s="3"/>
      <c r="D56" s="3"/>
      <c r="E56" s="10"/>
      <c r="F56" s="11"/>
      <c r="G56" s="11"/>
      <c r="H56" s="11"/>
      <c r="I56" s="11"/>
      <c r="J56" s="3"/>
      <c r="K56" s="3"/>
      <c r="L56" s="3"/>
      <c r="M56" s="11"/>
      <c r="N56" s="11"/>
    </row>
    <row r="57">
      <c r="A57" s="3"/>
      <c r="B57" s="10"/>
      <c r="C57" s="3"/>
      <c r="D57" s="3"/>
      <c r="E57" s="10"/>
      <c r="F57" s="11"/>
      <c r="G57" s="11"/>
      <c r="H57" s="11"/>
      <c r="I57" s="11"/>
      <c r="J57" s="3"/>
      <c r="K57" s="3"/>
      <c r="L57" s="3"/>
      <c r="M57" s="11"/>
      <c r="N57" s="11"/>
    </row>
    <row r="58">
      <c r="A58" s="3"/>
      <c r="B58" s="10"/>
      <c r="C58" s="3"/>
      <c r="D58" s="3"/>
      <c r="E58" s="10"/>
      <c r="F58" s="11"/>
      <c r="G58" s="11"/>
      <c r="H58" s="11"/>
      <c r="I58" s="11"/>
      <c r="J58" s="3"/>
      <c r="K58" s="3"/>
      <c r="L58" s="3"/>
      <c r="M58" s="11"/>
      <c r="N58" s="11"/>
    </row>
    <row r="59">
      <c r="A59" s="3"/>
      <c r="B59" s="10"/>
      <c r="C59" s="3"/>
      <c r="D59" s="3"/>
      <c r="E59" s="10"/>
      <c r="F59" s="11"/>
      <c r="G59" s="11"/>
      <c r="H59" s="11"/>
      <c r="I59" s="11"/>
      <c r="J59" s="3"/>
      <c r="K59" s="3"/>
      <c r="L59" s="3"/>
      <c r="M59" s="11"/>
      <c r="N59" s="1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13"/>
    <col customWidth="1" min="3" max="3" width="15.25"/>
    <col customWidth="1" min="4" max="4" width="26.88"/>
    <col customWidth="1" min="5" max="5" width="39.88"/>
    <col customWidth="1" min="6" max="6" width="18.25"/>
  </cols>
  <sheetData>
    <row r="2">
      <c r="A2" s="2" t="s">
        <v>422</v>
      </c>
      <c r="B2" s="2" t="s">
        <v>259</v>
      </c>
    </row>
    <row r="3">
      <c r="F3" s="3" t="s">
        <v>2</v>
      </c>
      <c r="G3" s="62"/>
    </row>
    <row r="4">
      <c r="A4" s="4" t="s">
        <v>3</v>
      </c>
      <c r="B4" s="4" t="s">
        <v>4</v>
      </c>
      <c r="C4" s="4" t="s">
        <v>5</v>
      </c>
      <c r="D4" s="4" t="s">
        <v>6</v>
      </c>
      <c r="E4" s="4" t="s">
        <v>7</v>
      </c>
      <c r="F4" s="6">
        <v>45323.0</v>
      </c>
      <c r="G4" s="6">
        <v>45352.0</v>
      </c>
      <c r="H4" s="6">
        <v>45383.0</v>
      </c>
      <c r="I4" s="6">
        <v>45413.0</v>
      </c>
      <c r="J4" s="6">
        <v>45444.0</v>
      </c>
      <c r="K4" s="6">
        <v>45474.0</v>
      </c>
      <c r="L4" s="9">
        <v>45505.0</v>
      </c>
      <c r="M4" s="11"/>
      <c r="N4" s="10"/>
      <c r="O4" s="10"/>
      <c r="P4" s="10"/>
      <c r="Q4" s="10"/>
    </row>
    <row r="5">
      <c r="A5" s="34">
        <v>1.0</v>
      </c>
      <c r="B5" s="80" t="s">
        <v>568</v>
      </c>
      <c r="C5" s="34" t="s">
        <v>375</v>
      </c>
      <c r="D5" s="93" t="s">
        <v>130</v>
      </c>
      <c r="E5" s="89" t="str">
        <f>HYPERLINK("https://www.city.akita.lg.jp/kurashi/sumai/1007425/1008156/index.html", "Link to " &amp; "Akita City " &amp; $B5)</f>
        <v>Link to Akita City Akita</v>
      </c>
      <c r="F5" s="36"/>
      <c r="G5" s="36"/>
      <c r="H5" s="36"/>
      <c r="I5" s="36"/>
      <c r="J5" s="34"/>
      <c r="K5" s="34"/>
      <c r="L5" s="34"/>
      <c r="M5" s="36"/>
      <c r="N5" s="37"/>
      <c r="O5" s="37"/>
      <c r="P5" s="37"/>
      <c r="Q5" s="37"/>
      <c r="R5" s="38"/>
      <c r="S5" s="38"/>
      <c r="T5" s="38"/>
      <c r="U5" s="38"/>
      <c r="V5" s="38"/>
      <c r="W5" s="38"/>
      <c r="X5" s="38"/>
      <c r="Y5" s="38"/>
    </row>
    <row r="6">
      <c r="A6" s="34">
        <v>2.0</v>
      </c>
      <c r="B6" s="80" t="s">
        <v>569</v>
      </c>
      <c r="C6" s="34" t="s">
        <v>375</v>
      </c>
      <c r="D6" s="34" t="s">
        <v>130</v>
      </c>
      <c r="E6" s="89" t="str">
        <f>HYPERLINK("https://www.city.daisen.lg.jp/archive/contents-9770", "Link to " &amp; "Akita City " &amp; $B6)</f>
        <v>Link to Akita City Daisen</v>
      </c>
      <c r="F6" s="34"/>
      <c r="G6" s="36"/>
      <c r="H6" s="36"/>
      <c r="I6" s="36"/>
      <c r="J6" s="34"/>
      <c r="K6" s="34"/>
      <c r="L6" s="34"/>
      <c r="M6" s="36"/>
      <c r="N6" s="37"/>
      <c r="O6" s="37"/>
      <c r="P6" s="37"/>
      <c r="Q6" s="37"/>
      <c r="R6" s="38"/>
      <c r="S6" s="38"/>
      <c r="T6" s="38"/>
      <c r="U6" s="38"/>
      <c r="V6" s="38"/>
      <c r="W6" s="38"/>
      <c r="X6" s="38"/>
      <c r="Y6" s="38"/>
    </row>
    <row r="7">
      <c r="A7" s="34">
        <v>3.0</v>
      </c>
      <c r="B7" s="80" t="s">
        <v>570</v>
      </c>
      <c r="C7" s="34" t="s">
        <v>375</v>
      </c>
      <c r="D7" s="34" t="s">
        <v>130</v>
      </c>
      <c r="E7" s="89" t="str">
        <f>HYPERLINK("https://f-redesign.jp/ikikata/house_cat/house_cat02/", "Link to " &amp; "Akita City " &amp; $B7)</f>
        <v>Link to Akita City Fujisato</v>
      </c>
      <c r="F7" s="36"/>
      <c r="G7" s="36"/>
      <c r="H7" s="36"/>
      <c r="I7" s="36"/>
      <c r="J7" s="34"/>
      <c r="K7" s="34"/>
      <c r="L7" s="34"/>
      <c r="M7" s="36"/>
      <c r="N7" s="37"/>
      <c r="O7" s="37"/>
      <c r="P7" s="37"/>
      <c r="Q7" s="37"/>
      <c r="R7" s="38"/>
      <c r="S7" s="38"/>
      <c r="T7" s="38"/>
      <c r="U7" s="38"/>
      <c r="V7" s="38"/>
      <c r="W7" s="38"/>
      <c r="X7" s="38"/>
      <c r="Y7" s="38"/>
    </row>
    <row r="8">
      <c r="A8" s="34">
        <v>4.0</v>
      </c>
      <c r="B8" s="80" t="s">
        <v>571</v>
      </c>
      <c r="C8" s="34" t="s">
        <v>375</v>
      </c>
      <c r="D8" s="34" t="s">
        <v>130</v>
      </c>
      <c r="E8" s="89" t="str">
        <f>HYPERLINK("https://gojome.net/contents/?cate=87", "Link to " &amp; "Akita City " &amp; $B8)</f>
        <v>Link to Akita City Gojōme</v>
      </c>
      <c r="F8" s="36"/>
      <c r="G8" s="36"/>
      <c r="H8" s="36"/>
      <c r="I8" s="36"/>
      <c r="J8" s="34"/>
      <c r="K8" s="34"/>
      <c r="L8" s="34"/>
      <c r="M8" s="36"/>
      <c r="N8" s="37"/>
      <c r="O8" s="37"/>
      <c r="P8" s="37"/>
      <c r="Q8" s="37"/>
      <c r="R8" s="38"/>
      <c r="S8" s="38"/>
      <c r="T8" s="38"/>
      <c r="U8" s="38"/>
      <c r="V8" s="38"/>
      <c r="W8" s="38"/>
      <c r="X8" s="38"/>
      <c r="Y8" s="38"/>
    </row>
    <row r="9">
      <c r="A9" s="22">
        <v>5.0</v>
      </c>
      <c r="B9" s="87" t="s">
        <v>572</v>
      </c>
      <c r="C9" s="22" t="s">
        <v>375</v>
      </c>
      <c r="D9" s="22" t="s">
        <v>573</v>
      </c>
      <c r="E9" s="91" t="str">
        <f>HYPERLINK("https://www.town.hachirogata.akita.jp/index.html", "Link to " &amp; "Akita City " &amp; $B9)</f>
        <v>Link to Akita City Hachirōgata</v>
      </c>
      <c r="F9" s="23"/>
      <c r="G9" s="23"/>
      <c r="H9" s="23"/>
      <c r="I9" s="23"/>
      <c r="J9" s="22"/>
      <c r="K9" s="22"/>
      <c r="L9" s="22"/>
      <c r="M9" s="23"/>
      <c r="N9" s="24"/>
      <c r="O9" s="24"/>
      <c r="P9" s="24"/>
      <c r="Q9" s="24"/>
      <c r="R9" s="25"/>
      <c r="S9" s="25"/>
      <c r="T9" s="25"/>
      <c r="U9" s="25"/>
      <c r="V9" s="25"/>
      <c r="W9" s="25"/>
      <c r="X9" s="25"/>
      <c r="Y9" s="25"/>
    </row>
    <row r="10">
      <c r="A10" s="34">
        <v>6.0</v>
      </c>
      <c r="B10" s="80" t="s">
        <v>574</v>
      </c>
      <c r="C10" s="34" t="s">
        <v>463</v>
      </c>
      <c r="D10" s="93"/>
      <c r="E10" s="37"/>
      <c r="F10" s="34"/>
      <c r="G10" s="36"/>
      <c r="H10" s="36"/>
      <c r="I10" s="36"/>
      <c r="J10" s="34"/>
      <c r="K10" s="34"/>
      <c r="L10" s="34"/>
      <c r="M10" s="36"/>
      <c r="N10" s="37"/>
      <c r="O10" s="37"/>
      <c r="P10" s="37"/>
      <c r="Q10" s="37"/>
      <c r="R10" s="38"/>
      <c r="S10" s="38"/>
      <c r="T10" s="38"/>
      <c r="U10" s="38"/>
      <c r="V10" s="38"/>
      <c r="W10" s="38"/>
      <c r="X10" s="38"/>
      <c r="Y10" s="38"/>
    </row>
    <row r="11">
      <c r="A11" s="34">
        <v>7.0</v>
      </c>
      <c r="B11" s="80" t="s">
        <v>575</v>
      </c>
      <c r="C11" s="34" t="s">
        <v>463</v>
      </c>
      <c r="D11" s="34"/>
      <c r="E11" s="89" t="str">
        <f>HYPERLINK("https://www.town.aga.niigata.jp/cgi-bin/recruit.php/2/list", "Link to " &amp; "Akita City " &amp; $B11)</f>
        <v>Link to Akita City Higashinaruse</v>
      </c>
      <c r="F11" s="36"/>
      <c r="G11" s="36"/>
      <c r="H11" s="36"/>
      <c r="I11" s="36"/>
      <c r="J11" s="34"/>
      <c r="K11" s="34"/>
      <c r="L11" s="34"/>
      <c r="M11" s="36"/>
      <c r="N11" s="37"/>
      <c r="O11" s="37"/>
      <c r="P11" s="37"/>
      <c r="Q11" s="37"/>
      <c r="R11" s="38"/>
      <c r="S11" s="38"/>
      <c r="T11" s="38"/>
      <c r="U11" s="38"/>
      <c r="V11" s="38"/>
      <c r="W11" s="38"/>
      <c r="X11" s="38"/>
      <c r="Y11" s="38"/>
    </row>
    <row r="12">
      <c r="A12" s="29">
        <v>8.0</v>
      </c>
      <c r="B12" s="81" t="s">
        <v>576</v>
      </c>
      <c r="C12" s="29" t="s">
        <v>375</v>
      </c>
      <c r="D12" s="29" t="s">
        <v>162</v>
      </c>
      <c r="E12" s="90" t="str">
        <f>HYPERLINK("http://www.town.ikawa.akita.jp/docs/2019032900019/", "Link to " &amp; "Akita City " &amp; $B12)</f>
        <v>Link to Akita City Ikawa</v>
      </c>
      <c r="F12" s="31"/>
      <c r="G12" s="31"/>
      <c r="H12" s="31"/>
      <c r="I12" s="31"/>
      <c r="J12" s="29"/>
      <c r="K12" s="29"/>
      <c r="L12" s="29"/>
      <c r="M12" s="31"/>
      <c r="N12" s="32"/>
      <c r="O12" s="32"/>
      <c r="P12" s="32"/>
      <c r="Q12" s="32"/>
      <c r="R12" s="33"/>
      <c r="S12" s="33"/>
      <c r="T12" s="33"/>
      <c r="U12" s="33"/>
      <c r="V12" s="33"/>
      <c r="W12" s="33"/>
      <c r="X12" s="33"/>
      <c r="Y12" s="33"/>
    </row>
    <row r="13">
      <c r="A13" s="22">
        <v>9.0</v>
      </c>
      <c r="B13" s="87" t="s">
        <v>577</v>
      </c>
      <c r="C13" s="22" t="s">
        <v>375</v>
      </c>
      <c r="D13" s="22" t="s">
        <v>510</v>
      </c>
      <c r="E13" s="91" t="str">
        <f>HYPERLINK("https://www.vill.kamikoani.akita.jp/info/77", "Link to " &amp; "Akita City " &amp; $B13)</f>
        <v>Link to Akita City Kamikoani</v>
      </c>
      <c r="F13" s="23"/>
      <c r="G13" s="23"/>
      <c r="H13" s="23"/>
      <c r="I13" s="23"/>
      <c r="J13" s="22"/>
      <c r="K13" s="22"/>
      <c r="L13" s="22"/>
      <c r="M13" s="23"/>
      <c r="N13" s="24"/>
      <c r="O13" s="24"/>
      <c r="P13" s="24"/>
      <c r="Q13" s="24"/>
      <c r="R13" s="25"/>
      <c r="S13" s="25"/>
      <c r="T13" s="25"/>
      <c r="U13" s="25"/>
      <c r="V13" s="25"/>
      <c r="W13" s="25"/>
      <c r="X13" s="25"/>
      <c r="Y13" s="25"/>
    </row>
    <row r="14">
      <c r="A14" s="34">
        <v>10.0</v>
      </c>
      <c r="B14" s="80" t="s">
        <v>578</v>
      </c>
      <c r="C14" s="34" t="s">
        <v>463</v>
      </c>
      <c r="D14" s="34"/>
      <c r="E14" s="37"/>
      <c r="F14" s="36"/>
      <c r="G14" s="36"/>
      <c r="H14" s="36"/>
      <c r="I14" s="36"/>
      <c r="J14" s="34"/>
      <c r="K14" s="34"/>
      <c r="L14" s="34"/>
      <c r="M14" s="36"/>
      <c r="N14" s="37"/>
      <c r="O14" s="37"/>
      <c r="P14" s="37"/>
      <c r="Q14" s="37"/>
      <c r="R14" s="38"/>
      <c r="S14" s="38"/>
      <c r="T14" s="38"/>
      <c r="U14" s="38"/>
      <c r="V14" s="38"/>
      <c r="W14" s="38"/>
      <c r="X14" s="38"/>
      <c r="Y14" s="38"/>
    </row>
    <row r="15">
      <c r="A15" s="34">
        <v>11.0</v>
      </c>
      <c r="B15" s="80" t="s">
        <v>579</v>
      </c>
      <c r="C15" s="34" t="s">
        <v>375</v>
      </c>
      <c r="D15" s="34" t="s">
        <v>130</v>
      </c>
      <c r="E15" s="89" t="str">
        <f>HYPERLINK("https://kazuno-gurashi.jp/akiya_bank?minprice=&amp;maxprice=&amp;minarea=&amp;maxarea=&amp;minyear=&amp;maxyear=&amp;no=&amp;s=&amp;ing=checked&amp;ed=checked", "Link to " &amp; "Akita City " &amp; $B15)</f>
        <v>Link to Akita City Kazuno</v>
      </c>
      <c r="F15" s="36"/>
      <c r="G15" s="36"/>
      <c r="H15" s="36"/>
      <c r="I15" s="36"/>
      <c r="J15" s="34"/>
      <c r="K15" s="34"/>
      <c r="L15" s="34"/>
      <c r="M15" s="36"/>
      <c r="N15" s="37"/>
      <c r="O15" s="37"/>
      <c r="P15" s="37"/>
      <c r="Q15" s="37"/>
      <c r="R15" s="38"/>
      <c r="S15" s="38"/>
      <c r="T15" s="38"/>
      <c r="U15" s="38"/>
      <c r="V15" s="38"/>
      <c r="W15" s="38"/>
      <c r="X15" s="38"/>
      <c r="Y15" s="38"/>
    </row>
    <row r="16">
      <c r="A16" s="22">
        <v>12.0</v>
      </c>
      <c r="B16" s="87" t="s">
        <v>580</v>
      </c>
      <c r="C16" s="22" t="s">
        <v>375</v>
      </c>
      <c r="D16" s="22" t="s">
        <v>510</v>
      </c>
      <c r="E16" s="91" t="str">
        <f t="shared" ref="E16:E17" si="1">HYPERLINK("https://www.town.kosaka.akita.jp/machinososhiki/somuka/kikakuzaiseihan/2/1800.html", "Link to " &amp; "Akita City " &amp; $B16)</f>
        <v>Link to Akita City Kitaakita</v>
      </c>
      <c r="F16" s="23"/>
      <c r="G16" s="23"/>
      <c r="H16" s="23"/>
      <c r="I16" s="23"/>
      <c r="J16" s="22"/>
      <c r="K16" s="22"/>
      <c r="L16" s="22"/>
      <c r="M16" s="23"/>
      <c r="N16" s="24"/>
      <c r="O16" s="24"/>
      <c r="P16" s="24"/>
      <c r="Q16" s="24"/>
      <c r="R16" s="25"/>
      <c r="S16" s="25"/>
      <c r="T16" s="25"/>
      <c r="U16" s="25"/>
      <c r="V16" s="25"/>
      <c r="W16" s="25"/>
      <c r="X16" s="25"/>
      <c r="Y16" s="25"/>
    </row>
    <row r="17">
      <c r="A17" s="22">
        <v>13.0</v>
      </c>
      <c r="B17" s="87" t="s">
        <v>581</v>
      </c>
      <c r="C17" s="22" t="s">
        <v>375</v>
      </c>
      <c r="D17" s="22" t="s">
        <v>510</v>
      </c>
      <c r="E17" s="91" t="str">
        <f t="shared" si="1"/>
        <v>Link to Akita City Kosaka</v>
      </c>
      <c r="F17" s="23"/>
      <c r="G17" s="23"/>
      <c r="H17" s="23"/>
      <c r="I17" s="23"/>
      <c r="J17" s="22"/>
      <c r="K17" s="22"/>
      <c r="L17" s="22"/>
      <c r="M17" s="23"/>
      <c r="N17" s="24"/>
      <c r="O17" s="24"/>
      <c r="P17" s="24"/>
      <c r="Q17" s="24"/>
      <c r="R17" s="25"/>
      <c r="S17" s="25"/>
      <c r="T17" s="25"/>
      <c r="U17" s="25"/>
      <c r="V17" s="25"/>
      <c r="W17" s="25"/>
      <c r="X17" s="25"/>
      <c r="Y17" s="25"/>
    </row>
    <row r="18">
      <c r="A18" s="29">
        <v>14.0</v>
      </c>
      <c r="B18" s="81" t="s">
        <v>474</v>
      </c>
      <c r="C18" s="29" t="s">
        <v>375</v>
      </c>
      <c r="D18" s="92" t="s">
        <v>162</v>
      </c>
      <c r="E18" s="90" t="str">
        <f t="shared" ref="E18:E19" si="2">HYPERLINK("https://www.town.misato.akita.jp/teijyuu/2831.html", "Link to " &amp; "Akita City " &amp; $B18)</f>
        <v>Link to Akita City Misato</v>
      </c>
      <c r="F18" s="31"/>
      <c r="G18" s="31"/>
      <c r="H18" s="31"/>
      <c r="I18" s="31"/>
      <c r="J18" s="29"/>
      <c r="K18" s="29"/>
      <c r="L18" s="29"/>
      <c r="M18" s="31"/>
      <c r="N18" s="32"/>
      <c r="O18" s="32"/>
      <c r="P18" s="32"/>
      <c r="Q18" s="32"/>
      <c r="R18" s="33"/>
      <c r="S18" s="33"/>
      <c r="T18" s="33"/>
      <c r="U18" s="33"/>
      <c r="V18" s="33"/>
      <c r="W18" s="33"/>
      <c r="X18" s="33"/>
      <c r="Y18" s="33"/>
    </row>
    <row r="19">
      <c r="A19" s="22">
        <v>15.0</v>
      </c>
      <c r="B19" s="87" t="s">
        <v>582</v>
      </c>
      <c r="C19" s="22" t="s">
        <v>375</v>
      </c>
      <c r="D19" s="88" t="s">
        <v>510</v>
      </c>
      <c r="E19" s="91" t="str">
        <f t="shared" si="2"/>
        <v>Link to Akita City Mitane</v>
      </c>
      <c r="F19" s="23"/>
      <c r="G19" s="23"/>
      <c r="H19" s="23"/>
      <c r="I19" s="23"/>
      <c r="J19" s="22"/>
      <c r="K19" s="22"/>
      <c r="L19" s="22"/>
      <c r="M19" s="23"/>
      <c r="N19" s="24"/>
      <c r="O19" s="24"/>
      <c r="P19" s="24"/>
      <c r="Q19" s="24"/>
      <c r="R19" s="25"/>
      <c r="S19" s="25"/>
      <c r="T19" s="25"/>
      <c r="U19" s="25"/>
      <c r="V19" s="25"/>
      <c r="W19" s="25"/>
      <c r="X19" s="25"/>
      <c r="Y19" s="25"/>
    </row>
    <row r="20">
      <c r="A20" s="22">
        <v>16.0</v>
      </c>
      <c r="B20" s="87" t="s">
        <v>583</v>
      </c>
      <c r="C20" s="22" t="s">
        <v>375</v>
      </c>
      <c r="D20" s="88" t="s">
        <v>510</v>
      </c>
      <c r="E20" s="91" t="str">
        <f>HYPERLINK("https://www.city.nikaho.akita.jp/life/detail.html?id=288", "Link to " &amp; "Akita City " &amp; $B20)</f>
        <v>Link to Akita City Nikaho</v>
      </c>
      <c r="F20" s="23"/>
      <c r="G20" s="23"/>
      <c r="H20" s="23"/>
      <c r="I20" s="23"/>
      <c r="J20" s="22"/>
      <c r="K20" s="22"/>
      <c r="L20" s="22"/>
      <c r="M20" s="23"/>
      <c r="N20" s="24"/>
      <c r="O20" s="24"/>
      <c r="P20" s="24"/>
      <c r="Q20" s="24"/>
      <c r="R20" s="25"/>
      <c r="S20" s="25"/>
      <c r="T20" s="25"/>
      <c r="U20" s="25"/>
      <c r="V20" s="25"/>
      <c r="W20" s="25"/>
      <c r="X20" s="25"/>
      <c r="Y20" s="25"/>
    </row>
    <row r="21">
      <c r="A21" s="29">
        <v>17.0</v>
      </c>
      <c r="B21" s="81" t="s">
        <v>584</v>
      </c>
      <c r="C21" s="29" t="s">
        <v>375</v>
      </c>
      <c r="D21" s="29" t="s">
        <v>469</v>
      </c>
      <c r="E21" s="90" t="str">
        <f>HYPERLINK("https://www.city.noshiro.lg.jp/sangyo/iju-teiju/akiya-bank/11098", "Link to " &amp; "Akita City " &amp; $B21)</f>
        <v>Link to Akita City Noshiro</v>
      </c>
      <c r="F21" s="31"/>
      <c r="G21" s="31"/>
      <c r="H21" s="31"/>
      <c r="I21" s="31"/>
      <c r="J21" s="29"/>
      <c r="K21" s="29"/>
      <c r="L21" s="29"/>
      <c r="M21" s="31"/>
      <c r="N21" s="32"/>
      <c r="O21" s="32"/>
      <c r="P21" s="32"/>
      <c r="Q21" s="32"/>
      <c r="R21" s="33"/>
      <c r="S21" s="33"/>
      <c r="T21" s="33"/>
      <c r="U21" s="33"/>
      <c r="V21" s="33"/>
      <c r="W21" s="33"/>
      <c r="X21" s="33"/>
      <c r="Y21" s="33"/>
    </row>
    <row r="22">
      <c r="A22" s="29">
        <v>18.0</v>
      </c>
      <c r="B22" s="81" t="s">
        <v>585</v>
      </c>
      <c r="C22" s="29" t="s">
        <v>375</v>
      </c>
      <c r="D22" s="92" t="s">
        <v>162</v>
      </c>
      <c r="E22" s="90" t="str">
        <f>HYPERLINK("https://www.city.oga.akita.jp/soshik/kiki/teijushien/1/index.html", "Link to " &amp; "Akita City " &amp; $B22)</f>
        <v>Link to Akita City Oga</v>
      </c>
      <c r="F22" s="31"/>
      <c r="G22" s="31"/>
      <c r="H22" s="31"/>
      <c r="I22" s="31"/>
      <c r="J22" s="29"/>
      <c r="K22" s="29"/>
      <c r="L22" s="29"/>
      <c r="M22" s="31"/>
      <c r="N22" s="32"/>
      <c r="O22" s="32"/>
      <c r="P22" s="32"/>
      <c r="Q22" s="32"/>
      <c r="R22" s="33"/>
      <c r="S22" s="33"/>
      <c r="T22" s="33"/>
      <c r="U22" s="33"/>
      <c r="V22" s="33"/>
      <c r="W22" s="33"/>
      <c r="X22" s="33"/>
      <c r="Y22" s="33"/>
    </row>
    <row r="23">
      <c r="A23" s="22">
        <v>19.0</v>
      </c>
      <c r="B23" s="87" t="s">
        <v>586</v>
      </c>
      <c r="C23" s="22" t="s">
        <v>375</v>
      </c>
      <c r="D23" s="22" t="s">
        <v>510</v>
      </c>
      <c r="E23" s="91" t="str">
        <f>HYPERLINK("https://www.city.semboku.akita.jp/egukite/akiya.html", "Link to " &amp; "Akita City " &amp; $B23)</f>
        <v>Link to Akita City Semboku</v>
      </c>
      <c r="F23" s="23"/>
      <c r="G23" s="23"/>
      <c r="H23" s="23"/>
      <c r="I23" s="23"/>
      <c r="J23" s="22"/>
      <c r="K23" s="22"/>
      <c r="L23" s="22"/>
      <c r="M23" s="23"/>
      <c r="N23" s="24"/>
      <c r="O23" s="24"/>
      <c r="P23" s="24"/>
      <c r="Q23" s="24"/>
      <c r="R23" s="25"/>
      <c r="S23" s="25"/>
      <c r="T23" s="25"/>
      <c r="U23" s="25"/>
      <c r="V23" s="25"/>
      <c r="W23" s="25"/>
      <c r="X23" s="25"/>
      <c r="Y23" s="25"/>
    </row>
    <row r="24">
      <c r="A24" s="29">
        <v>20.0</v>
      </c>
      <c r="B24" s="81" t="s">
        <v>587</v>
      </c>
      <c r="C24" s="29" t="s">
        <v>375</v>
      </c>
      <c r="D24" s="29" t="s">
        <v>469</v>
      </c>
      <c r="E24" s="90" t="str">
        <f>HYPERLINK("https://www.town.ugo.lg.jp/life/detail.html?id=2092&amp;category_id=174", "Link to " &amp; "Akita City " &amp; $B24)</f>
        <v>Link to Akita City Ugo</v>
      </c>
      <c r="F24" s="29"/>
      <c r="G24" s="31"/>
      <c r="H24" s="31"/>
      <c r="I24" s="31"/>
      <c r="J24" s="29"/>
      <c r="K24" s="29"/>
      <c r="L24" s="29"/>
      <c r="M24" s="31"/>
      <c r="N24" s="32"/>
      <c r="O24" s="32"/>
      <c r="P24" s="32"/>
      <c r="Q24" s="32"/>
      <c r="R24" s="33"/>
      <c r="S24" s="33"/>
      <c r="T24" s="33"/>
      <c r="U24" s="33"/>
      <c r="V24" s="33"/>
      <c r="W24" s="33"/>
      <c r="X24" s="33"/>
      <c r="Y24" s="33"/>
    </row>
    <row r="25">
      <c r="A25" s="34">
        <v>21.0</v>
      </c>
      <c r="B25" s="80" t="s">
        <v>588</v>
      </c>
      <c r="C25" s="34" t="s">
        <v>463</v>
      </c>
      <c r="D25" s="34"/>
      <c r="E25" s="37"/>
      <c r="F25" s="36"/>
      <c r="G25" s="34"/>
      <c r="H25" s="36"/>
      <c r="I25" s="36"/>
      <c r="J25" s="34"/>
      <c r="K25" s="34"/>
      <c r="L25" s="34"/>
      <c r="M25" s="36"/>
      <c r="N25" s="37"/>
      <c r="O25" s="37"/>
      <c r="P25" s="37"/>
      <c r="Q25" s="37"/>
      <c r="R25" s="38"/>
      <c r="S25" s="38"/>
      <c r="T25" s="38"/>
      <c r="U25" s="38"/>
      <c r="V25" s="38"/>
      <c r="W25" s="38"/>
      <c r="X25" s="38"/>
      <c r="Y25" s="38"/>
    </row>
    <row r="26">
      <c r="A26" s="34">
        <v>22.0</v>
      </c>
      <c r="B26" s="80" t="s">
        <v>589</v>
      </c>
      <c r="C26" s="34" t="s">
        <v>375</v>
      </c>
      <c r="D26" s="34" t="s">
        <v>130</v>
      </c>
      <c r="E26" s="89" t="str">
        <f>HYPERLINK("https://yurihonjo-teiju.jp/?page_id=673", "Link to " &amp; "Akita City " &amp; $B26)</f>
        <v>Link to Akita City Yurihonjō</v>
      </c>
      <c r="F26" s="36"/>
      <c r="G26" s="36"/>
      <c r="H26" s="36"/>
      <c r="I26" s="36"/>
      <c r="J26" s="34"/>
      <c r="K26" s="34"/>
      <c r="L26" s="34"/>
      <c r="M26" s="36"/>
      <c r="N26" s="37"/>
      <c r="O26" s="37"/>
      <c r="P26" s="37"/>
      <c r="Q26" s="37"/>
      <c r="R26" s="38"/>
      <c r="S26" s="38"/>
      <c r="T26" s="38"/>
      <c r="U26" s="38"/>
      <c r="V26" s="38"/>
      <c r="W26" s="38"/>
      <c r="X26" s="38"/>
      <c r="Y26" s="38"/>
    </row>
    <row r="27">
      <c r="A27" s="22">
        <v>23.0</v>
      </c>
      <c r="B27" s="87" t="s">
        <v>567</v>
      </c>
      <c r="C27" s="22" t="s">
        <v>375</v>
      </c>
      <c r="D27" s="22" t="s">
        <v>510</v>
      </c>
      <c r="E27" s="91" t="str">
        <f>HYPERLINK("https://www.city-yuzawa.jp/site/iju-teiju/2746.html", "Link to " &amp; "Akita City " &amp; $B27)</f>
        <v>Link to Akita City Yuzawa</v>
      </c>
      <c r="F27" s="23"/>
      <c r="G27" s="23"/>
      <c r="H27" s="23"/>
      <c r="I27" s="23"/>
      <c r="J27" s="22"/>
      <c r="K27" s="22"/>
      <c r="L27" s="22"/>
      <c r="M27" s="23"/>
      <c r="N27" s="24"/>
      <c r="O27" s="24"/>
      <c r="P27" s="24"/>
      <c r="Q27" s="24"/>
      <c r="R27" s="25"/>
      <c r="S27" s="25"/>
      <c r="T27" s="25"/>
      <c r="U27" s="25"/>
      <c r="V27" s="25"/>
      <c r="W27" s="25"/>
      <c r="X27" s="25"/>
      <c r="Y27" s="25"/>
    </row>
    <row r="28">
      <c r="A28" s="34">
        <v>24.0</v>
      </c>
      <c r="B28" s="80" t="s">
        <v>590</v>
      </c>
      <c r="C28" s="34" t="s">
        <v>375</v>
      </c>
      <c r="D28" s="34" t="s">
        <v>130</v>
      </c>
      <c r="E28" s="89" t="str">
        <f>HYPERLINK("https://odate-akiya-bank.jimdofree.com/", "Link to " &amp; "Akita City " &amp; $B28)</f>
        <v>Link to Akita City Ōdate</v>
      </c>
      <c r="F28" s="36"/>
      <c r="G28" s="36"/>
      <c r="H28" s="36"/>
      <c r="I28" s="36"/>
      <c r="J28" s="34"/>
      <c r="K28" s="34"/>
      <c r="L28" s="34"/>
      <c r="M28" s="36"/>
      <c r="N28" s="37"/>
      <c r="O28" s="37"/>
      <c r="P28" s="37"/>
      <c r="Q28" s="37"/>
      <c r="R28" s="38"/>
      <c r="S28" s="38"/>
      <c r="T28" s="38"/>
      <c r="U28" s="38"/>
      <c r="V28" s="38"/>
      <c r="W28" s="38"/>
      <c r="X28" s="38"/>
      <c r="Y28" s="38"/>
    </row>
    <row r="29">
      <c r="A29" s="22">
        <v>25.0</v>
      </c>
      <c r="B29" s="87" t="s">
        <v>591</v>
      </c>
      <c r="C29" s="22" t="s">
        <v>375</v>
      </c>
      <c r="D29" s="22" t="s">
        <v>510</v>
      </c>
      <c r="E29" s="91" t="str">
        <f>HYPERLINK("https://www.vill.ogata.akita.jp/genre/settlement/house-bank", "Link to " &amp; "Akita City " &amp; $B29)</f>
        <v>Link to Akita City Ōgata</v>
      </c>
      <c r="F29" s="23"/>
      <c r="G29" s="23"/>
      <c r="H29" s="23"/>
      <c r="I29" s="23"/>
      <c r="J29" s="22"/>
      <c r="K29" s="22"/>
      <c r="L29" s="22"/>
      <c r="M29" s="23"/>
      <c r="N29" s="24"/>
      <c r="O29" s="24"/>
      <c r="P29" s="24"/>
      <c r="Q29" s="24"/>
      <c r="R29" s="25"/>
      <c r="S29" s="25"/>
      <c r="T29" s="25"/>
      <c r="U29" s="25"/>
      <c r="V29" s="25"/>
      <c r="W29" s="25"/>
      <c r="X29" s="25"/>
      <c r="Y29" s="25"/>
    </row>
    <row r="30">
      <c r="A30" s="3"/>
      <c r="B30" s="98"/>
      <c r="C30" s="3"/>
      <c r="D30" s="3" t="s">
        <v>592</v>
      </c>
      <c r="E30" s="10"/>
      <c r="F30" s="11"/>
      <c r="G30" s="11"/>
      <c r="H30" s="11"/>
      <c r="I30" s="11"/>
      <c r="J30" s="3"/>
      <c r="K30" s="3"/>
      <c r="L30" s="3"/>
      <c r="M30" s="11"/>
      <c r="N30" s="10"/>
      <c r="O30" s="10"/>
      <c r="P30" s="10"/>
      <c r="Q30" s="10"/>
    </row>
    <row r="31">
      <c r="A31" s="3"/>
      <c r="B31" s="98"/>
      <c r="C31" s="3"/>
      <c r="D31" s="3"/>
      <c r="E31" s="10"/>
      <c r="F31" s="11"/>
      <c r="G31" s="11"/>
      <c r="H31" s="11"/>
      <c r="I31" s="11"/>
      <c r="J31" s="3"/>
      <c r="K31" s="3"/>
      <c r="L31" s="3"/>
      <c r="M31" s="11"/>
      <c r="N31" s="11"/>
      <c r="O31" s="10"/>
      <c r="P31" s="10"/>
      <c r="Q31" s="10"/>
    </row>
    <row r="32">
      <c r="A32" s="3"/>
      <c r="B32" s="98"/>
      <c r="C32" s="3"/>
      <c r="D32" s="3"/>
      <c r="E32" s="10"/>
      <c r="F32" s="11"/>
      <c r="G32" s="11"/>
      <c r="H32" s="11"/>
      <c r="I32" s="11"/>
      <c r="J32" s="3"/>
      <c r="K32" s="3"/>
      <c r="L32" s="3"/>
      <c r="M32" s="11"/>
      <c r="N32" s="11"/>
      <c r="O32" s="10"/>
      <c r="P32" s="10"/>
      <c r="Q32" s="10"/>
    </row>
    <row r="33">
      <c r="A33" s="3"/>
      <c r="B33" s="98"/>
      <c r="C33" s="3"/>
      <c r="D33" s="97"/>
      <c r="E33" s="10"/>
      <c r="F33" s="11"/>
      <c r="G33" s="11"/>
      <c r="H33" s="11"/>
      <c r="I33" s="11"/>
      <c r="J33" s="3"/>
      <c r="K33" s="3"/>
      <c r="L33" s="3"/>
      <c r="M33" s="11"/>
      <c r="N33" s="11"/>
      <c r="O33" s="10"/>
      <c r="P33" s="10"/>
      <c r="Q33" s="10"/>
    </row>
    <row r="34">
      <c r="A34" s="3"/>
      <c r="B34" s="96"/>
      <c r="C34" s="3"/>
      <c r="D34" s="3"/>
      <c r="E34" s="10"/>
      <c r="F34" s="11"/>
      <c r="G34" s="11"/>
      <c r="H34" s="11"/>
      <c r="I34" s="11"/>
      <c r="J34" s="3"/>
      <c r="K34" s="3"/>
      <c r="L34" s="3"/>
      <c r="M34" s="11"/>
      <c r="N34" s="11"/>
      <c r="O34" s="10"/>
      <c r="P34" s="10"/>
      <c r="Q34" s="10"/>
    </row>
    <row r="35">
      <c r="A35" s="3"/>
      <c r="B35" s="96"/>
      <c r="C35" s="3"/>
      <c r="D35" s="97"/>
      <c r="E35" s="10"/>
      <c r="F35" s="11"/>
      <c r="G35" s="11"/>
      <c r="H35" s="11"/>
      <c r="I35" s="11"/>
      <c r="J35" s="3"/>
      <c r="K35" s="3"/>
      <c r="L35" s="3"/>
      <c r="M35" s="11"/>
      <c r="N35" s="11"/>
      <c r="O35" s="10"/>
      <c r="P35" s="10"/>
      <c r="Q35" s="10"/>
    </row>
    <row r="36">
      <c r="A36" s="3"/>
      <c r="B36" s="96"/>
      <c r="C36" s="3"/>
      <c r="D36" s="3"/>
      <c r="E36" s="10"/>
      <c r="F36" s="11"/>
      <c r="G36" s="11"/>
      <c r="H36" s="11"/>
      <c r="I36" s="11"/>
      <c r="J36" s="3"/>
      <c r="K36" s="3"/>
      <c r="L36" s="3"/>
      <c r="M36" s="11"/>
      <c r="N36" s="11"/>
      <c r="O36" s="10"/>
      <c r="P36" s="10"/>
      <c r="Q36" s="10"/>
    </row>
    <row r="37">
      <c r="A37" s="3"/>
      <c r="B37" s="96"/>
      <c r="C37" s="3"/>
      <c r="D37" s="3"/>
      <c r="E37" s="10"/>
      <c r="F37" s="11"/>
      <c r="G37" s="11"/>
      <c r="H37" s="11"/>
      <c r="I37" s="11"/>
      <c r="J37" s="3"/>
      <c r="K37" s="3"/>
      <c r="L37" s="3"/>
      <c r="M37" s="11"/>
      <c r="N37" s="11"/>
      <c r="O37" s="10"/>
      <c r="P37" s="10"/>
      <c r="Q37" s="10"/>
    </row>
    <row r="38">
      <c r="A38" s="3"/>
      <c r="B38" s="96"/>
      <c r="C38" s="3"/>
      <c r="D38" s="3"/>
      <c r="E38" s="10"/>
      <c r="F38" s="11"/>
      <c r="G38" s="11"/>
      <c r="H38" s="11"/>
      <c r="I38" s="11"/>
      <c r="J38" s="3"/>
      <c r="K38" s="3"/>
      <c r="L38" s="3"/>
      <c r="M38" s="11"/>
      <c r="N38" s="11"/>
      <c r="O38" s="10"/>
      <c r="P38" s="10"/>
      <c r="Q38" s="10"/>
    </row>
    <row r="39">
      <c r="A39" s="3"/>
      <c r="B39" s="96"/>
      <c r="C39" s="3"/>
      <c r="D39" s="3"/>
      <c r="E39" s="10"/>
      <c r="F39" s="11"/>
      <c r="G39" s="11"/>
      <c r="H39" s="11"/>
      <c r="I39" s="11"/>
      <c r="J39" s="3"/>
      <c r="K39" s="3"/>
      <c r="L39" s="3"/>
      <c r="M39" s="11"/>
      <c r="N39" s="11"/>
      <c r="O39" s="10"/>
      <c r="P39" s="10"/>
      <c r="Q39" s="10"/>
    </row>
    <row r="40">
      <c r="A40" s="3"/>
      <c r="B40" s="10"/>
      <c r="C40" s="3"/>
      <c r="D40" s="3"/>
      <c r="E40" s="10"/>
      <c r="F40" s="11"/>
      <c r="G40" s="11"/>
      <c r="H40" s="11"/>
      <c r="I40" s="11"/>
      <c r="J40" s="3"/>
      <c r="K40" s="3"/>
      <c r="L40" s="3"/>
      <c r="M40" s="11"/>
      <c r="N40" s="11"/>
      <c r="O40" s="10"/>
      <c r="P40" s="10"/>
      <c r="Q40" s="10"/>
    </row>
    <row r="41">
      <c r="A41" s="3"/>
      <c r="B41" s="10"/>
      <c r="C41" s="3"/>
      <c r="D41" s="3"/>
      <c r="E41" s="10"/>
      <c r="F41" s="11"/>
      <c r="G41" s="11"/>
      <c r="H41" s="11"/>
      <c r="I41" s="11"/>
      <c r="J41" s="3"/>
      <c r="K41" s="3"/>
      <c r="L41" s="3"/>
      <c r="M41" s="11"/>
      <c r="N41" s="11"/>
    </row>
    <row r="42">
      <c r="A42" s="3"/>
      <c r="B42" s="10"/>
      <c r="C42" s="3"/>
      <c r="D42" s="3"/>
      <c r="E42" s="10"/>
      <c r="F42" s="11"/>
      <c r="G42" s="11"/>
      <c r="H42" s="11"/>
      <c r="I42" s="11"/>
      <c r="J42" s="3"/>
      <c r="K42" s="3"/>
      <c r="L42" s="3"/>
      <c r="M42" s="11"/>
      <c r="N42" s="11"/>
    </row>
    <row r="43">
      <c r="A43" s="3"/>
      <c r="B43" s="10"/>
      <c r="C43" s="3"/>
      <c r="D43" s="3"/>
      <c r="E43" s="10"/>
      <c r="F43" s="11"/>
      <c r="G43" s="11"/>
      <c r="H43" s="11"/>
      <c r="I43" s="11"/>
      <c r="J43" s="3"/>
      <c r="K43" s="3"/>
      <c r="L43" s="3"/>
      <c r="M43" s="11"/>
      <c r="N43" s="11"/>
    </row>
    <row r="44">
      <c r="A44" s="3"/>
      <c r="B44" s="10"/>
      <c r="C44" s="3"/>
      <c r="D44" s="3"/>
      <c r="E44" s="10"/>
      <c r="F44" s="11"/>
      <c r="G44" s="11"/>
      <c r="H44" s="11"/>
      <c r="I44" s="11"/>
      <c r="J44" s="3"/>
      <c r="K44" s="3"/>
      <c r="L44" s="3"/>
      <c r="M44" s="11"/>
      <c r="N44" s="11"/>
    </row>
    <row r="45">
      <c r="A45" s="3"/>
      <c r="B45" s="10"/>
      <c r="C45" s="3"/>
      <c r="D45" s="3"/>
      <c r="E45" s="10"/>
      <c r="F45" s="11"/>
      <c r="G45" s="11"/>
      <c r="H45" s="11"/>
      <c r="I45" s="11"/>
      <c r="J45" s="3"/>
      <c r="K45" s="3"/>
      <c r="L45" s="3"/>
      <c r="M45" s="11"/>
      <c r="N45" s="11"/>
    </row>
    <row r="46">
      <c r="A46" s="3"/>
      <c r="B46" s="10"/>
      <c r="C46" s="3"/>
      <c r="D46" s="3"/>
      <c r="E46" s="10"/>
      <c r="F46" s="11"/>
      <c r="G46" s="11"/>
      <c r="H46" s="11"/>
      <c r="I46" s="11"/>
      <c r="J46" s="3"/>
      <c r="K46" s="3"/>
      <c r="L46" s="3"/>
      <c r="M46" s="11"/>
      <c r="N46" s="11"/>
    </row>
    <row r="47">
      <c r="A47" s="3"/>
      <c r="B47" s="10"/>
      <c r="C47" s="3"/>
      <c r="D47" s="3"/>
      <c r="E47" s="10"/>
      <c r="F47" s="11"/>
      <c r="G47" s="11"/>
      <c r="H47" s="11"/>
      <c r="I47" s="11"/>
      <c r="J47" s="3"/>
      <c r="K47" s="3"/>
      <c r="L47" s="3"/>
      <c r="M47" s="11"/>
      <c r="N47" s="11"/>
    </row>
    <row r="48">
      <c r="A48" s="3"/>
      <c r="B48" s="10"/>
      <c r="C48" s="3"/>
      <c r="D48" s="3"/>
      <c r="E48" s="10"/>
      <c r="F48" s="11"/>
      <c r="G48" s="11"/>
      <c r="H48" s="11"/>
      <c r="I48" s="11"/>
      <c r="J48" s="3"/>
      <c r="K48" s="3"/>
      <c r="L48" s="3"/>
      <c r="M48" s="11"/>
      <c r="N48" s="11"/>
    </row>
    <row r="49">
      <c r="A49" s="3"/>
      <c r="B49" s="10"/>
      <c r="C49" s="3"/>
      <c r="D49" s="3"/>
      <c r="E49" s="10"/>
      <c r="F49" s="11"/>
      <c r="G49" s="11"/>
      <c r="H49" s="11"/>
      <c r="I49" s="11"/>
      <c r="J49" s="3"/>
      <c r="K49" s="3"/>
      <c r="L49" s="3"/>
      <c r="M49" s="11"/>
      <c r="N49" s="11"/>
    </row>
    <row r="50">
      <c r="A50" s="3"/>
      <c r="B50" s="10"/>
      <c r="C50" s="3"/>
      <c r="D50" s="3"/>
      <c r="E50" s="10"/>
      <c r="F50" s="11"/>
      <c r="G50" s="11"/>
      <c r="H50" s="11"/>
      <c r="I50" s="11"/>
      <c r="J50" s="3"/>
      <c r="K50" s="3"/>
      <c r="L50" s="3"/>
      <c r="M50" s="11"/>
      <c r="N50" s="11"/>
    </row>
    <row r="51">
      <c r="A51" s="3"/>
      <c r="B51" s="10"/>
      <c r="C51" s="3"/>
      <c r="D51" s="3"/>
      <c r="E51" s="10"/>
      <c r="F51" s="11"/>
      <c r="G51" s="11"/>
      <c r="H51" s="11"/>
      <c r="I51" s="11"/>
      <c r="J51" s="3"/>
      <c r="K51" s="3"/>
      <c r="L51" s="3"/>
      <c r="M51" s="11"/>
      <c r="N51" s="11"/>
    </row>
    <row r="52">
      <c r="A52" s="3"/>
      <c r="B52" s="10"/>
      <c r="C52" s="3"/>
      <c r="D52" s="3"/>
      <c r="E52" s="10"/>
      <c r="F52" s="11"/>
      <c r="G52" s="11"/>
      <c r="H52" s="11"/>
      <c r="I52" s="11"/>
      <c r="J52" s="3"/>
      <c r="K52" s="3"/>
      <c r="L52" s="3"/>
      <c r="M52" s="11"/>
      <c r="N52" s="11"/>
    </row>
    <row r="53">
      <c r="A53" s="3"/>
      <c r="B53" s="10"/>
      <c r="C53" s="3"/>
      <c r="D53" s="3"/>
      <c r="E53" s="10"/>
      <c r="F53" s="11"/>
      <c r="G53" s="11"/>
      <c r="H53" s="11"/>
      <c r="I53" s="11"/>
      <c r="J53" s="3"/>
      <c r="K53" s="3"/>
      <c r="L53" s="3"/>
      <c r="M53" s="11"/>
      <c r="N53" s="11"/>
    </row>
    <row r="54">
      <c r="A54" s="3"/>
      <c r="B54" s="10"/>
      <c r="C54" s="3"/>
      <c r="D54" s="3"/>
      <c r="E54" s="10"/>
      <c r="F54" s="11"/>
      <c r="G54" s="11"/>
      <c r="H54" s="11"/>
      <c r="I54" s="11"/>
      <c r="J54" s="3"/>
      <c r="K54" s="3"/>
      <c r="L54" s="3"/>
      <c r="M54" s="11"/>
      <c r="N54" s="11"/>
    </row>
    <row r="55">
      <c r="A55" s="3"/>
      <c r="B55" s="10"/>
      <c r="C55" s="3"/>
      <c r="D55" s="3"/>
      <c r="E55" s="10"/>
      <c r="F55" s="11"/>
      <c r="G55" s="11"/>
      <c r="H55" s="11"/>
      <c r="I55" s="11"/>
      <c r="J55" s="3"/>
      <c r="K55" s="3"/>
      <c r="L55" s="3"/>
      <c r="M55" s="11"/>
      <c r="N55" s="11"/>
    </row>
    <row r="56">
      <c r="A56" s="3"/>
      <c r="B56" s="10"/>
      <c r="C56" s="3"/>
      <c r="D56" s="3"/>
      <c r="E56" s="10"/>
      <c r="F56" s="11"/>
      <c r="G56" s="11"/>
      <c r="H56" s="11"/>
      <c r="I56" s="11"/>
      <c r="J56" s="3"/>
      <c r="K56" s="3"/>
      <c r="L56" s="3"/>
      <c r="M56" s="11"/>
      <c r="N56" s="11"/>
    </row>
    <row r="57">
      <c r="A57" s="3"/>
      <c r="B57" s="10"/>
      <c r="C57" s="3"/>
      <c r="D57" s="3"/>
      <c r="E57" s="10"/>
      <c r="F57" s="11"/>
      <c r="G57" s="11"/>
      <c r="H57" s="11"/>
      <c r="I57" s="11"/>
      <c r="J57" s="3"/>
      <c r="K57" s="3"/>
      <c r="L57" s="3"/>
      <c r="M57" s="11"/>
      <c r="N57" s="11"/>
    </row>
    <row r="58">
      <c r="A58" s="3"/>
      <c r="B58" s="10"/>
      <c r="C58" s="3"/>
      <c r="D58" s="3"/>
      <c r="E58" s="10"/>
      <c r="F58" s="11"/>
      <c r="G58" s="11"/>
      <c r="H58" s="11"/>
      <c r="I58" s="11"/>
      <c r="J58" s="3"/>
      <c r="K58" s="3"/>
      <c r="L58" s="3"/>
      <c r="M58" s="11"/>
      <c r="N58" s="11"/>
    </row>
    <row r="59">
      <c r="A59" s="3"/>
      <c r="B59" s="10"/>
      <c r="C59" s="3"/>
      <c r="D59" s="3"/>
      <c r="E59" s="10"/>
      <c r="F59" s="11"/>
      <c r="G59" s="11"/>
      <c r="H59" s="11"/>
      <c r="I59" s="11"/>
      <c r="J59" s="3"/>
      <c r="K59" s="3"/>
      <c r="L59" s="3"/>
      <c r="M59" s="11"/>
      <c r="N59" s="11"/>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13"/>
    <col customWidth="1" min="3" max="3" width="25.13"/>
    <col customWidth="1" min="4" max="4" width="26.88"/>
    <col customWidth="1" min="5" max="5" width="39.88"/>
    <col customWidth="1" min="6" max="6" width="18.25"/>
  </cols>
  <sheetData>
    <row r="2">
      <c r="A2" s="2" t="s">
        <v>593</v>
      </c>
      <c r="B2" s="2" t="s">
        <v>259</v>
      </c>
    </row>
    <row r="3">
      <c r="F3" s="3" t="s">
        <v>2</v>
      </c>
      <c r="G3" s="62"/>
    </row>
    <row r="4">
      <c r="A4" s="4" t="s">
        <v>3</v>
      </c>
      <c r="B4" s="4" t="s">
        <v>4</v>
      </c>
      <c r="C4" s="4" t="s">
        <v>5</v>
      </c>
      <c r="D4" s="4" t="s">
        <v>6</v>
      </c>
      <c r="E4" s="4" t="s">
        <v>7</v>
      </c>
      <c r="F4" s="6">
        <v>45323.0</v>
      </c>
      <c r="G4" s="6">
        <v>45352.0</v>
      </c>
      <c r="H4" s="6">
        <v>45383.0</v>
      </c>
      <c r="I4" s="6">
        <v>45413.0</v>
      </c>
      <c r="J4" s="6">
        <v>45444.0</v>
      </c>
      <c r="K4" s="6">
        <v>45474.0</v>
      </c>
      <c r="L4" s="9">
        <v>45505.0</v>
      </c>
      <c r="M4" s="11"/>
      <c r="N4" s="10"/>
      <c r="O4" s="10"/>
      <c r="P4" s="10"/>
      <c r="Q4" s="10"/>
    </row>
    <row r="5">
      <c r="A5" s="22">
        <v>1.0</v>
      </c>
      <c r="B5" s="99" t="s">
        <v>594</v>
      </c>
      <c r="C5" s="22" t="s">
        <v>375</v>
      </c>
      <c r="D5" s="88" t="s">
        <v>203</v>
      </c>
      <c r="E5" s="91" t="str">
        <f>HYPERLINK("https://iju.pref.miyazaki.lg.jp/housebank/housebank-single/?city_code%5B0%5D=13&amp;house_type%5B0%5D=2&amp;house_type%5B1%5D=1&amp;sell_price_low&amp;sell_price_max&amp;rent_price_low&amp;rent_price_max", "Link to " &amp; "Miyazaki Prefrecture : " &amp; $B5 &amp;" City")</f>
        <v>Link to Miyazaki Prefrecture : Aya City</v>
      </c>
      <c r="F5" s="22"/>
      <c r="G5" s="23"/>
      <c r="H5" s="23"/>
      <c r="I5" s="23"/>
      <c r="J5" s="22"/>
      <c r="K5" s="22"/>
      <c r="L5" s="22"/>
      <c r="M5" s="23"/>
      <c r="N5" s="24"/>
      <c r="O5" s="24"/>
      <c r="P5" s="24"/>
      <c r="Q5" s="24"/>
      <c r="R5" s="25"/>
      <c r="S5" s="25"/>
      <c r="T5" s="25"/>
      <c r="U5" s="25"/>
      <c r="V5" s="25"/>
      <c r="W5" s="25"/>
      <c r="X5" s="25"/>
      <c r="Y5" s="25"/>
    </row>
    <row r="6">
      <c r="A6" s="34">
        <v>2.0</v>
      </c>
      <c r="B6" s="100" t="s">
        <v>595</v>
      </c>
      <c r="C6" s="34" t="s">
        <v>375</v>
      </c>
      <c r="D6" s="34" t="s">
        <v>130</v>
      </c>
      <c r="E6" s="89" t="str">
        <f>HYPERLINK("https://www.ebikyan.jp/list/", "Link to " &amp; "Miyazaki Prefrecture : " &amp; $B6 &amp;" City")</f>
        <v>Link to Miyazaki Prefrecture : Ebino City</v>
      </c>
      <c r="F6" s="34"/>
      <c r="G6" s="36"/>
      <c r="H6" s="36"/>
      <c r="I6" s="36"/>
      <c r="J6" s="34"/>
      <c r="K6" s="34"/>
      <c r="L6" s="34"/>
      <c r="M6" s="36"/>
      <c r="N6" s="37"/>
      <c r="O6" s="37"/>
      <c r="P6" s="37"/>
      <c r="Q6" s="37"/>
      <c r="R6" s="38"/>
      <c r="S6" s="38"/>
      <c r="T6" s="38"/>
      <c r="U6" s="38"/>
      <c r="V6" s="38"/>
      <c r="W6" s="38"/>
      <c r="X6" s="38"/>
      <c r="Y6" s="38"/>
    </row>
    <row r="7">
      <c r="A7" s="22">
        <v>3.0</v>
      </c>
      <c r="B7" s="99" t="s">
        <v>596</v>
      </c>
      <c r="C7" s="22" t="s">
        <v>375</v>
      </c>
      <c r="D7" s="22" t="s">
        <v>203</v>
      </c>
      <c r="E7" s="91" t="str">
        <f>HYPERLINK("https://www.town.gokase.miyazaki.jp/promo/sumu/711.html", "Link to " &amp; "Miyazaki Prefrecture : " &amp; $B7 &amp;" City")</f>
        <v>Link to Miyazaki Prefrecture : Gokase City</v>
      </c>
      <c r="F7" s="22"/>
      <c r="G7" s="23"/>
      <c r="H7" s="23"/>
      <c r="I7" s="23"/>
      <c r="J7" s="22"/>
      <c r="K7" s="22"/>
      <c r="L7" s="22"/>
      <c r="M7" s="23"/>
      <c r="N7" s="24"/>
      <c r="O7" s="24"/>
      <c r="P7" s="24"/>
      <c r="Q7" s="24"/>
      <c r="R7" s="25"/>
      <c r="S7" s="25"/>
      <c r="T7" s="25"/>
      <c r="U7" s="25"/>
      <c r="V7" s="25"/>
      <c r="W7" s="25"/>
      <c r="X7" s="25"/>
      <c r="Y7" s="25"/>
    </row>
    <row r="8">
      <c r="A8" s="34">
        <v>4.0</v>
      </c>
      <c r="B8" s="100" t="s">
        <v>597</v>
      </c>
      <c r="C8" s="34" t="s">
        <v>375</v>
      </c>
      <c r="D8" s="34" t="s">
        <v>130</v>
      </c>
      <c r="E8" s="89" t="str">
        <f>HYPERLINK("https://www.town.hinokage.lg.jp/docs/2018102500012/", "Link to " &amp; "Miyazaki Prefrecture : " &amp; $B8 &amp;" City")</f>
        <v>Link to Miyazaki Prefrecture : Hinokage City</v>
      </c>
      <c r="F8" s="34"/>
      <c r="G8" s="36"/>
      <c r="H8" s="36"/>
      <c r="I8" s="36"/>
      <c r="J8" s="34"/>
      <c r="K8" s="34"/>
      <c r="L8" s="34"/>
      <c r="M8" s="36"/>
      <c r="N8" s="37"/>
      <c r="O8" s="37"/>
      <c r="P8" s="37"/>
      <c r="Q8" s="37"/>
      <c r="R8" s="38"/>
      <c r="S8" s="38"/>
      <c r="T8" s="38"/>
      <c r="U8" s="38"/>
      <c r="V8" s="38"/>
      <c r="W8" s="38"/>
      <c r="X8" s="38"/>
      <c r="Y8" s="38"/>
    </row>
    <row r="9">
      <c r="A9" s="34">
        <v>5.0</v>
      </c>
      <c r="B9" s="34" t="s">
        <v>598</v>
      </c>
      <c r="C9" s="34" t="s">
        <v>375</v>
      </c>
      <c r="D9" s="34" t="s">
        <v>130</v>
      </c>
      <c r="E9" s="89" t="str">
        <f>HYPERLINK("https://iju.pref.miyazaki.lg.jp/housebank/housebank-single/?city_code%5B0%5D=6&amp;city_code%5B1%5D=13&amp;sell_price_low&amp;sell_price_max&amp;rent_price_low&amp;rent_price_max&amp;doing_wp_cron=1737511429.1431720256805419921875", "Link to " &amp; "Miyazaki Prefrecture : " &amp; $B9 &amp;" City")</f>
        <v>Link to Miyazaki Prefrecture : Hyuga City</v>
      </c>
      <c r="F9" s="34"/>
      <c r="G9" s="36"/>
      <c r="H9" s="36"/>
      <c r="I9" s="36"/>
      <c r="J9" s="34"/>
      <c r="K9" s="34"/>
      <c r="L9" s="34"/>
      <c r="M9" s="36"/>
      <c r="N9" s="37"/>
      <c r="O9" s="37"/>
      <c r="P9" s="37"/>
      <c r="Q9" s="37"/>
      <c r="R9" s="38"/>
      <c r="S9" s="38"/>
      <c r="T9" s="38"/>
      <c r="U9" s="38"/>
      <c r="V9" s="38"/>
      <c r="W9" s="38"/>
      <c r="X9" s="38"/>
      <c r="Y9" s="38"/>
    </row>
    <row r="10">
      <c r="A10" s="22">
        <v>6.0</v>
      </c>
      <c r="B10" s="99" t="s">
        <v>599</v>
      </c>
      <c r="C10" s="22" t="s">
        <v>375</v>
      </c>
      <c r="D10" s="88" t="s">
        <v>600</v>
      </c>
      <c r="E10" s="91" t="str">
        <f>HYPERLINK("https://www.town.kadogawa.lg.jp/akiyabank/buy/", "Link to " &amp; "Miyazaki Prefrecture : " &amp; $B10 &amp;" City")</f>
        <v>Link to Miyazaki Prefrecture : Kadogawa City</v>
      </c>
      <c r="F10" s="23"/>
      <c r="G10" s="23"/>
      <c r="H10" s="23"/>
      <c r="I10" s="23"/>
      <c r="J10" s="22"/>
      <c r="K10" s="22"/>
      <c r="L10" s="22"/>
      <c r="M10" s="23"/>
      <c r="N10" s="24"/>
      <c r="O10" s="24"/>
      <c r="P10" s="24"/>
      <c r="Q10" s="24"/>
      <c r="R10" s="25"/>
      <c r="S10" s="25"/>
      <c r="T10" s="25"/>
      <c r="U10" s="25"/>
      <c r="V10" s="25"/>
      <c r="W10" s="25"/>
      <c r="X10" s="25"/>
      <c r="Y10" s="25"/>
    </row>
    <row r="11">
      <c r="A11" s="34">
        <v>7.0</v>
      </c>
      <c r="B11" s="100" t="s">
        <v>601</v>
      </c>
      <c r="C11" s="34" t="s">
        <v>375</v>
      </c>
      <c r="D11" s="34" t="s">
        <v>130</v>
      </c>
      <c r="E11" s="89" t="str">
        <f>HYPERLINK("https://life-kawaminami.jp/house_category/buy/", "Link to " &amp; "Miyazaki Prefrecture : " &amp; $B11 &amp;" City")</f>
        <v>Link to Miyazaki Prefrecture : Kawaminami City</v>
      </c>
      <c r="F11" s="36"/>
      <c r="G11" s="36"/>
      <c r="H11" s="36"/>
      <c r="I11" s="36"/>
      <c r="J11" s="34"/>
      <c r="K11" s="34"/>
      <c r="L11" s="34"/>
      <c r="M11" s="36"/>
      <c r="N11" s="37"/>
      <c r="O11" s="37"/>
      <c r="P11" s="37"/>
      <c r="Q11" s="37"/>
      <c r="R11" s="38"/>
      <c r="S11" s="38"/>
      <c r="T11" s="38"/>
      <c r="U11" s="38"/>
      <c r="V11" s="38"/>
      <c r="W11" s="38"/>
      <c r="X11" s="38"/>
      <c r="Y11" s="38"/>
    </row>
    <row r="12">
      <c r="A12" s="34">
        <v>8.0</v>
      </c>
      <c r="B12" s="100" t="s">
        <v>602</v>
      </c>
      <c r="C12" s="34" t="s">
        <v>375</v>
      </c>
      <c r="D12" s="34" t="s">
        <v>130</v>
      </c>
      <c r="E12" s="89" t="str">
        <f>HYPERLINK("https://www.town.kijo.lg.jp/sosikikarasagasu/tiikiseisakuka/3/1/290.html", "Link to " &amp; "Miyazaki Prefrecture : " &amp; $B12 &amp;" City")</f>
        <v>Link to Miyazaki Prefrecture : Kijō City</v>
      </c>
      <c r="F12" s="34"/>
      <c r="G12" s="36"/>
      <c r="H12" s="36"/>
      <c r="I12" s="36"/>
      <c r="J12" s="34"/>
      <c r="K12" s="34"/>
      <c r="L12" s="34"/>
      <c r="M12" s="36"/>
      <c r="N12" s="37"/>
      <c r="O12" s="37"/>
      <c r="P12" s="37"/>
      <c r="Q12" s="37"/>
      <c r="R12" s="38"/>
      <c r="S12" s="38"/>
      <c r="T12" s="38"/>
      <c r="U12" s="38"/>
      <c r="V12" s="38"/>
      <c r="W12" s="38"/>
      <c r="X12" s="38"/>
      <c r="Y12" s="38"/>
    </row>
    <row r="13">
      <c r="A13" s="34">
        <v>9.0</v>
      </c>
      <c r="B13" s="100" t="s">
        <v>603</v>
      </c>
      <c r="C13" s="34" t="s">
        <v>375</v>
      </c>
      <c r="D13" s="34" t="s">
        <v>130</v>
      </c>
      <c r="E13" s="89" t="str">
        <f>HYPERLINK("http://www.tenandoproject.com/akiyabank_list", "Link to " &amp; "Miyazaki Prefrecture : " &amp; $B13 &amp;" City")</f>
        <v>Link to Miyazaki Prefrecture : Kobayashi City</v>
      </c>
      <c r="F13" s="36"/>
      <c r="G13" s="36"/>
      <c r="H13" s="36"/>
      <c r="I13" s="36"/>
      <c r="J13" s="34"/>
      <c r="K13" s="34"/>
      <c r="L13" s="34"/>
      <c r="M13" s="36"/>
      <c r="N13" s="37"/>
      <c r="O13" s="37"/>
      <c r="P13" s="37"/>
      <c r="Q13" s="37"/>
      <c r="R13" s="38"/>
      <c r="S13" s="38"/>
      <c r="T13" s="38"/>
      <c r="U13" s="38"/>
      <c r="V13" s="38"/>
      <c r="W13" s="38"/>
      <c r="X13" s="38"/>
      <c r="Y13" s="38"/>
    </row>
    <row r="14">
      <c r="A14" s="34">
        <v>10.0</v>
      </c>
      <c r="B14" s="100" t="s">
        <v>604</v>
      </c>
      <c r="C14" s="34" t="s">
        <v>375</v>
      </c>
      <c r="D14" s="34" t="s">
        <v>130</v>
      </c>
      <c r="E14" s="89" t="str">
        <f>HYPERLINK("https://iju.pref.miyazaki.lg.jp/housebank/housebank-single/?city_code%5B0%5D=12&amp;sell_price_low&amp;sell_price_max&amp;rent_price_low&amp;rent_price_max&amp;doing_wp_cron=1737511812.5277259349822998046875", "Link to " &amp; "Miyazaki Prefrecture : " &amp; $B14 &amp;" City")</f>
        <v>Link to Miyazaki Prefrecture : Kunitomi City</v>
      </c>
      <c r="F14" s="36"/>
      <c r="G14" s="36"/>
      <c r="H14" s="36"/>
      <c r="I14" s="36"/>
      <c r="J14" s="34"/>
      <c r="K14" s="34"/>
      <c r="L14" s="34"/>
      <c r="M14" s="36"/>
      <c r="N14" s="37"/>
      <c r="O14" s="37"/>
      <c r="P14" s="37"/>
      <c r="Q14" s="37"/>
      <c r="R14" s="38"/>
      <c r="S14" s="38"/>
      <c r="T14" s="38"/>
      <c r="U14" s="38"/>
      <c r="V14" s="38"/>
      <c r="W14" s="38"/>
      <c r="X14" s="38"/>
      <c r="Y14" s="38"/>
    </row>
    <row r="15">
      <c r="A15" s="34">
        <v>11.0</v>
      </c>
      <c r="B15" s="100" t="s">
        <v>605</v>
      </c>
      <c r="C15" s="34" t="s">
        <v>375</v>
      </c>
      <c r="D15" s="34" t="s">
        <v>130</v>
      </c>
      <c r="E15" s="89" t="str">
        <f>HYPERLINK("https://iju.pref.miyazaki.lg.jp/housebank/housebank-single/?city_code%5B0%5D=7&amp;sell_price_low&amp;sell_price_max&amp;rent_price_low&amp;rent_price_max&amp;doing_wp_cron=1737565401.1071660518646240234375", "Link to " &amp; "Miyazaki Prefrecture : " &amp; $B15 &amp;" City")</f>
        <v>Link to Miyazaki Prefrecture : Kushima City</v>
      </c>
      <c r="F15" s="36"/>
      <c r="G15" s="36"/>
      <c r="H15" s="36"/>
      <c r="I15" s="36"/>
      <c r="J15" s="34"/>
      <c r="K15" s="34"/>
      <c r="L15" s="34"/>
      <c r="M15" s="36"/>
      <c r="N15" s="37"/>
      <c r="O15" s="37"/>
      <c r="P15" s="37"/>
      <c r="Q15" s="37"/>
      <c r="R15" s="38"/>
      <c r="S15" s="38"/>
      <c r="T15" s="38"/>
      <c r="U15" s="38"/>
      <c r="V15" s="38"/>
      <c r="W15" s="38"/>
      <c r="X15" s="38"/>
      <c r="Y15" s="38"/>
    </row>
    <row r="16">
      <c r="A16" s="29">
        <v>12.0</v>
      </c>
      <c r="B16" s="101" t="s">
        <v>606</v>
      </c>
      <c r="C16" s="29" t="s">
        <v>375</v>
      </c>
      <c r="D16" s="29" t="s">
        <v>607</v>
      </c>
      <c r="E16" s="90" t="str">
        <f>HYPERLINK("https://www.mimaturn.com/akiyabank/", "Link to " &amp; "Miyazaki Prefrecture : " &amp; $B16 &amp;" City")</f>
        <v>Link to Miyazaki Prefrecture : Mimata City</v>
      </c>
      <c r="F16" s="31"/>
      <c r="G16" s="31"/>
      <c r="H16" s="31"/>
      <c r="I16" s="31"/>
      <c r="J16" s="29"/>
      <c r="K16" s="29"/>
      <c r="L16" s="29"/>
      <c r="M16" s="31"/>
      <c r="N16" s="32"/>
      <c r="O16" s="32"/>
      <c r="P16" s="32"/>
      <c r="Q16" s="32"/>
      <c r="R16" s="33"/>
      <c r="S16" s="33"/>
      <c r="T16" s="33"/>
      <c r="U16" s="33"/>
      <c r="V16" s="33"/>
      <c r="W16" s="33"/>
      <c r="X16" s="33"/>
      <c r="Y16" s="33"/>
    </row>
    <row r="17">
      <c r="A17" s="22">
        <v>13.0</v>
      </c>
      <c r="B17" s="99" t="s">
        <v>474</v>
      </c>
      <c r="C17" s="22" t="s">
        <v>375</v>
      </c>
      <c r="D17" s="22" t="s">
        <v>608</v>
      </c>
      <c r="E17" s="91" t="str">
        <f>HYPERLINK("https://www.town.miyazaki-misato.lg.jp/dynamic/info/pub/default.aspx?c_id=26", "Link to " &amp; "Miyazaki Prefrecture : " &amp; $B17 &amp;" City")</f>
        <v>Link to Miyazaki Prefrecture : Misato City</v>
      </c>
      <c r="F17" s="22"/>
      <c r="G17" s="23"/>
      <c r="H17" s="23"/>
      <c r="I17" s="23"/>
      <c r="J17" s="22"/>
      <c r="K17" s="22"/>
      <c r="L17" s="22"/>
      <c r="M17" s="23"/>
      <c r="N17" s="24"/>
      <c r="O17" s="24"/>
      <c r="P17" s="24"/>
      <c r="Q17" s="24"/>
      <c r="R17" s="25"/>
      <c r="S17" s="25"/>
      <c r="T17" s="25"/>
      <c r="U17" s="25"/>
      <c r="V17" s="25"/>
      <c r="W17" s="25"/>
      <c r="X17" s="25"/>
      <c r="Y17" s="25"/>
    </row>
    <row r="18">
      <c r="A18" s="34">
        <v>14.0</v>
      </c>
      <c r="B18" s="100" t="s">
        <v>609</v>
      </c>
      <c r="C18" s="34" t="s">
        <v>375</v>
      </c>
      <c r="D18" s="93" t="s">
        <v>130</v>
      </c>
      <c r="E18" s="89" t="str">
        <f>HYPERLINK("https://www.city.miyakonojo.miyazaki.jp/site/akiyabank/list81.html", "Link to " &amp; "Miyazaki Prefrecture : " &amp; $B18 &amp;" City")</f>
        <v>Link to Miyazaki Prefrecture : Miyakonojō City</v>
      </c>
      <c r="F18" s="36"/>
      <c r="G18" s="36"/>
      <c r="H18" s="36"/>
      <c r="I18" s="36"/>
      <c r="J18" s="34"/>
      <c r="K18" s="34"/>
      <c r="L18" s="34"/>
      <c r="M18" s="36"/>
      <c r="N18" s="37"/>
      <c r="O18" s="37"/>
      <c r="P18" s="37"/>
      <c r="Q18" s="37"/>
      <c r="R18" s="38"/>
      <c r="S18" s="38"/>
      <c r="T18" s="38"/>
      <c r="U18" s="38"/>
      <c r="V18" s="38"/>
      <c r="W18" s="38"/>
      <c r="X18" s="38"/>
      <c r="Y18" s="38"/>
    </row>
    <row r="19">
      <c r="A19" s="34">
        <v>15.0</v>
      </c>
      <c r="B19" s="100" t="s">
        <v>610</v>
      </c>
      <c r="C19" s="34" t="s">
        <v>375</v>
      </c>
      <c r="D19" s="93" t="s">
        <v>130</v>
      </c>
      <c r="E19" s="102" t="s">
        <v>611</v>
      </c>
      <c r="F19" s="34"/>
      <c r="G19" s="36"/>
      <c r="H19" s="36"/>
      <c r="I19" s="36"/>
      <c r="J19" s="34"/>
      <c r="K19" s="34"/>
      <c r="L19" s="34"/>
      <c r="M19" s="36"/>
      <c r="N19" s="37"/>
      <c r="O19" s="37"/>
      <c r="P19" s="37"/>
      <c r="Q19" s="37"/>
      <c r="R19" s="38"/>
      <c r="S19" s="38"/>
      <c r="T19" s="38"/>
      <c r="U19" s="38"/>
      <c r="V19" s="38"/>
      <c r="W19" s="38"/>
      <c r="X19" s="38"/>
      <c r="Y19" s="38"/>
    </row>
    <row r="20">
      <c r="A20" s="22">
        <v>16.0</v>
      </c>
      <c r="B20" s="99" t="s">
        <v>612</v>
      </c>
      <c r="C20" s="22" t="s">
        <v>375</v>
      </c>
      <c r="D20" s="88" t="s">
        <v>203</v>
      </c>
      <c r="E20" s="91" t="str">
        <f>HYPERLINK("https://iju.pref.miyazaki.lg.jp/housebank/housebank-single/?city_code%5B0%5D=21&amp;sell_price_low&amp;sell_price_max&amp;rent_price_low&amp;rent_price_max&amp;doing_wp_cron=1737566579.3290560245513916015625", "Link to " &amp; "Miyazaki Prefrecture : " &amp; $B20 &amp;" City")</f>
        <v>Link to Miyazaki Prefrecture : Morotsuka City</v>
      </c>
      <c r="F20" s="22"/>
      <c r="G20" s="23"/>
      <c r="H20" s="23"/>
      <c r="I20" s="23"/>
      <c r="J20" s="22"/>
      <c r="K20" s="22"/>
      <c r="L20" s="22"/>
      <c r="M20" s="23"/>
      <c r="N20" s="24"/>
      <c r="O20" s="24"/>
      <c r="P20" s="24"/>
      <c r="Q20" s="24"/>
      <c r="R20" s="25"/>
      <c r="S20" s="25"/>
      <c r="T20" s="25"/>
      <c r="U20" s="25"/>
      <c r="V20" s="25"/>
      <c r="W20" s="25"/>
      <c r="X20" s="25"/>
      <c r="Y20" s="25"/>
    </row>
    <row r="21">
      <c r="A21" s="34">
        <v>17.0</v>
      </c>
      <c r="B21" s="100" t="s">
        <v>613</v>
      </c>
      <c r="C21" s="34" t="s">
        <v>463</v>
      </c>
      <c r="D21" s="34"/>
      <c r="E21" s="37"/>
      <c r="F21" s="34"/>
      <c r="G21" s="36"/>
      <c r="H21" s="36"/>
      <c r="I21" s="36"/>
      <c r="J21" s="34"/>
      <c r="K21" s="34"/>
      <c r="L21" s="34"/>
      <c r="M21" s="36"/>
      <c r="N21" s="37"/>
      <c r="O21" s="37"/>
      <c r="P21" s="37"/>
      <c r="Q21" s="37"/>
      <c r="R21" s="38"/>
      <c r="S21" s="38"/>
      <c r="T21" s="38"/>
      <c r="U21" s="38"/>
      <c r="V21" s="38"/>
      <c r="W21" s="38"/>
      <c r="X21" s="38"/>
      <c r="Y21" s="38"/>
    </row>
    <row r="22">
      <c r="A22" s="34">
        <v>18.0</v>
      </c>
      <c r="B22" s="100" t="s">
        <v>614</v>
      </c>
      <c r="C22" s="34" t="s">
        <v>375</v>
      </c>
      <c r="D22" s="93" t="s">
        <v>130</v>
      </c>
      <c r="E22" s="89" t="str">
        <f>HYPERLINK("https://nishimera-life.jp/vacant/", "Link to " &amp; "Miyazaki Prefrecture : " &amp; $B22 &amp;" City")</f>
        <v>Link to Miyazaki Prefrecture : Nishimera City</v>
      </c>
      <c r="F22" s="36"/>
      <c r="G22" s="36"/>
      <c r="H22" s="36"/>
      <c r="I22" s="36"/>
      <c r="J22" s="34"/>
      <c r="K22" s="34"/>
      <c r="L22" s="34"/>
      <c r="M22" s="36"/>
      <c r="N22" s="37"/>
      <c r="O22" s="37"/>
      <c r="P22" s="37"/>
      <c r="Q22" s="37"/>
      <c r="R22" s="38"/>
      <c r="S22" s="38"/>
      <c r="T22" s="38"/>
      <c r="U22" s="38"/>
      <c r="V22" s="38"/>
      <c r="W22" s="38"/>
      <c r="X22" s="38"/>
      <c r="Y22" s="38"/>
    </row>
    <row r="23">
      <c r="A23" s="22">
        <v>19.0</v>
      </c>
      <c r="B23" s="99" t="s">
        <v>615</v>
      </c>
      <c r="C23" s="22" t="s">
        <v>375</v>
      </c>
      <c r="D23" s="22" t="s">
        <v>616</v>
      </c>
      <c r="E23" s="91" t="str">
        <f>HYPERLINK("http://nobeoka.akybank.jp/sale/", "Link to " &amp; "Miyazaki Prefrecture : " &amp; $B23 &amp;" City")</f>
        <v>Link to Miyazaki Prefrecture : Nobeoka City</v>
      </c>
      <c r="F23" s="22"/>
      <c r="G23" s="23"/>
      <c r="H23" s="23"/>
      <c r="I23" s="23"/>
      <c r="J23" s="22"/>
      <c r="K23" s="22"/>
      <c r="L23" s="22"/>
      <c r="M23" s="23"/>
      <c r="N23" s="24"/>
      <c r="O23" s="24"/>
      <c r="P23" s="24"/>
      <c r="Q23" s="24"/>
      <c r="R23" s="25"/>
      <c r="S23" s="25"/>
      <c r="T23" s="25"/>
      <c r="U23" s="25"/>
      <c r="V23" s="25"/>
      <c r="W23" s="25"/>
      <c r="X23" s="25"/>
      <c r="Y23" s="25"/>
    </row>
    <row r="24">
      <c r="A24" s="34">
        <v>20.0</v>
      </c>
      <c r="B24" s="100" t="s">
        <v>617</v>
      </c>
      <c r="C24" s="34" t="s">
        <v>375</v>
      </c>
      <c r="D24" s="34" t="s">
        <v>130</v>
      </c>
      <c r="E24" s="89" t="str">
        <f>HYPERLINK("https://www.uji-saito.com/akiya-bank/", "Link to " &amp; "Miyazaki Prefrecture : " &amp; $B24 &amp;" City")</f>
        <v>Link to Miyazaki Prefrecture : Saito City</v>
      </c>
      <c r="F24" s="34"/>
      <c r="G24" s="36"/>
      <c r="H24" s="36"/>
      <c r="I24" s="36"/>
      <c r="J24" s="34"/>
      <c r="K24" s="34"/>
      <c r="L24" s="34"/>
      <c r="M24" s="36"/>
      <c r="N24" s="37"/>
      <c r="O24" s="37"/>
      <c r="P24" s="37"/>
      <c r="Q24" s="37"/>
      <c r="R24" s="38"/>
      <c r="S24" s="38"/>
      <c r="T24" s="38"/>
      <c r="U24" s="38"/>
      <c r="V24" s="38"/>
      <c r="W24" s="38"/>
      <c r="X24" s="38"/>
      <c r="Y24" s="38"/>
    </row>
    <row r="25">
      <c r="A25" s="34">
        <v>21.0</v>
      </c>
      <c r="B25" s="100" t="s">
        <v>618</v>
      </c>
      <c r="C25" s="34" t="s">
        <v>375</v>
      </c>
      <c r="D25" s="34" t="s">
        <v>130</v>
      </c>
      <c r="E25" s="89" t="str">
        <f>HYPERLINK("https://iju.pref.miyazaki.lg.jp/housebank/housebank-single/?city_code%5B0%5D=22&amp;sell_price_low&amp;sell_price_max&amp;rent_price_low&amp;rent_price_max&amp;doing_wp_cron=1737567048.3759829998016357421875", "Link to " &amp; "Miyazaki Prefrecture : " &amp; $B25 &amp;" City")</f>
        <v>Link to Miyazaki Prefrecture : Shiiba City</v>
      </c>
      <c r="F25" s="36"/>
      <c r="G25" s="34"/>
      <c r="H25" s="36"/>
      <c r="I25" s="36"/>
      <c r="J25" s="34"/>
      <c r="K25" s="34"/>
      <c r="L25" s="34"/>
      <c r="M25" s="36"/>
      <c r="N25" s="37"/>
      <c r="O25" s="37"/>
      <c r="P25" s="37"/>
      <c r="Q25" s="37"/>
      <c r="R25" s="38"/>
      <c r="S25" s="38"/>
      <c r="T25" s="38"/>
      <c r="U25" s="38"/>
      <c r="V25" s="38"/>
      <c r="W25" s="38"/>
      <c r="X25" s="38"/>
      <c r="Y25" s="38"/>
    </row>
    <row r="26">
      <c r="A26" s="22">
        <v>22.0</v>
      </c>
      <c r="B26" s="99" t="s">
        <v>619</v>
      </c>
      <c r="C26" s="22" t="s">
        <v>375</v>
      </c>
      <c r="D26" s="22" t="s">
        <v>203</v>
      </c>
      <c r="E26" s="91" t="str">
        <f>HYPERLINK("https://iju.pref.miyazaki.lg.jp/housebank/housebank-single/?city_code%5B0%5D=21&amp;city_code%5B1%5D=15&amp;sell_price_low&amp;sell_price_max&amp;rent_price_low&amp;rent_price_max", "Link to " &amp; "Miyazaki Prefrecture : " &amp; $B26 &amp;" City")</f>
        <v>Link to Miyazaki Prefrecture : Shintomi City</v>
      </c>
      <c r="F26" s="23"/>
      <c r="G26" s="23"/>
      <c r="H26" s="23"/>
      <c r="I26" s="23"/>
      <c r="J26" s="22"/>
      <c r="K26" s="22"/>
      <c r="L26" s="22"/>
      <c r="M26" s="23"/>
      <c r="N26" s="24"/>
      <c r="O26" s="24"/>
      <c r="P26" s="24"/>
      <c r="Q26" s="24"/>
      <c r="R26" s="25"/>
      <c r="S26" s="25"/>
      <c r="T26" s="25"/>
      <c r="U26" s="25"/>
      <c r="V26" s="25"/>
      <c r="W26" s="25"/>
      <c r="X26" s="25"/>
      <c r="Y26" s="25"/>
    </row>
    <row r="27">
      <c r="A27" s="22">
        <v>23.0</v>
      </c>
      <c r="B27" s="99" t="s">
        <v>620</v>
      </c>
      <c r="C27" s="22" t="s">
        <v>375</v>
      </c>
      <c r="D27" s="22" t="s">
        <v>621</v>
      </c>
      <c r="E27" s="91" t="str">
        <f>HYPERLINK("https://www.itteki.org/%E7%A9%BA%E3%81%8D%E5%AE%B6%E3%83%90%E3%83%B3%E3%82%AF-2", "Link to " &amp; "Miyazaki Prefrecture : " &amp; $B27 &amp;" City")</f>
        <v>Link to Miyazaki Prefrecture : Takachiho City</v>
      </c>
      <c r="F27" s="23"/>
      <c r="G27" s="23"/>
      <c r="H27" s="23"/>
      <c r="I27" s="23"/>
      <c r="J27" s="22"/>
      <c r="K27" s="22"/>
      <c r="L27" s="22"/>
      <c r="M27" s="23"/>
      <c r="N27" s="24"/>
      <c r="O27" s="24"/>
      <c r="P27" s="24"/>
      <c r="Q27" s="24"/>
      <c r="R27" s="25"/>
      <c r="S27" s="25"/>
      <c r="T27" s="25"/>
      <c r="U27" s="25"/>
      <c r="V27" s="25"/>
      <c r="W27" s="25"/>
      <c r="X27" s="25"/>
      <c r="Y27" s="25"/>
    </row>
    <row r="28">
      <c r="A28" s="22">
        <v>24.0</v>
      </c>
      <c r="B28" s="99" t="s">
        <v>622</v>
      </c>
      <c r="C28" s="22" t="s">
        <v>375</v>
      </c>
      <c r="D28" s="22" t="s">
        <v>621</v>
      </c>
      <c r="E28" s="91" t="str">
        <f>HYPERLINK("https://iju.town.takaharu.lg.jp/migration/bank/", "Link to " &amp; "Miyazaki Prefrecture : " &amp; $B28 &amp;" City")</f>
        <v>Link to Miyazaki Prefrecture : Takaharu City</v>
      </c>
      <c r="F28" s="22"/>
      <c r="G28" s="23"/>
      <c r="H28" s="23"/>
      <c r="I28" s="23"/>
      <c r="J28" s="22"/>
      <c r="K28" s="22"/>
      <c r="L28" s="22"/>
      <c r="M28" s="23"/>
      <c r="N28" s="24"/>
      <c r="O28" s="24"/>
      <c r="P28" s="24"/>
      <c r="Q28" s="24"/>
      <c r="R28" s="25"/>
      <c r="S28" s="25"/>
      <c r="T28" s="25"/>
      <c r="U28" s="25"/>
      <c r="V28" s="25"/>
      <c r="W28" s="25"/>
      <c r="X28" s="25"/>
      <c r="Y28" s="25"/>
    </row>
    <row r="29">
      <c r="A29" s="34">
        <v>25.0</v>
      </c>
      <c r="B29" s="100" t="s">
        <v>623</v>
      </c>
      <c r="C29" s="34" t="s">
        <v>375</v>
      </c>
      <c r="D29" s="34" t="s">
        <v>130</v>
      </c>
      <c r="E29" s="89" t="str">
        <f>HYPERLINK("https://life-takanabe.jp/real_estate_tax/trade/", "Link to " &amp; "Miyazaki Prefrecture : " &amp; $B29 &amp;" City")</f>
        <v>Link to Miyazaki Prefrecture : Takanabe City</v>
      </c>
      <c r="F29" s="34"/>
      <c r="G29" s="36"/>
      <c r="H29" s="36"/>
      <c r="I29" s="36"/>
      <c r="J29" s="34"/>
      <c r="K29" s="34"/>
      <c r="L29" s="34"/>
      <c r="M29" s="36"/>
      <c r="N29" s="37"/>
      <c r="O29" s="37"/>
      <c r="P29" s="37"/>
      <c r="Q29" s="37"/>
      <c r="R29" s="38"/>
      <c r="S29" s="38"/>
      <c r="T29" s="38"/>
      <c r="U29" s="38"/>
      <c r="V29" s="38"/>
      <c r="W29" s="38"/>
      <c r="X29" s="38"/>
      <c r="Y29" s="38"/>
    </row>
    <row r="30">
      <c r="A30" s="22">
        <v>26.0</v>
      </c>
      <c r="B30" s="99" t="s">
        <v>624</v>
      </c>
      <c r="C30" s="22" t="s">
        <v>375</v>
      </c>
      <c r="D30" s="22" t="s">
        <v>203</v>
      </c>
      <c r="E30" s="91" t="str">
        <f>HYPERLINK("https://www.town.tsuno.lg.jp/article?articleId=6088b6a631d3a32822c4ffd3", "Link to " &amp; "Miyazaki Prefrecture : " &amp; $B30 &amp;" City")</f>
        <v>Link to Miyazaki Prefrecture : Tsuno City</v>
      </c>
      <c r="F30" s="23"/>
      <c r="G30" s="23"/>
      <c r="H30" s="23"/>
      <c r="I30" s="23"/>
      <c r="J30" s="22"/>
      <c r="K30" s="22"/>
      <c r="L30" s="22"/>
      <c r="M30" s="23"/>
      <c r="N30" s="24"/>
      <c r="O30" s="24"/>
      <c r="P30" s="24"/>
      <c r="Q30" s="24"/>
      <c r="R30" s="25"/>
      <c r="S30" s="25"/>
      <c r="T30" s="25"/>
      <c r="U30" s="25"/>
      <c r="V30" s="25"/>
      <c r="W30" s="25"/>
      <c r="X30" s="25"/>
      <c r="Y30" s="25"/>
    </row>
    <row r="31">
      <c r="A31" s="3"/>
      <c r="B31" s="96"/>
      <c r="C31" s="3"/>
      <c r="D31" s="3"/>
      <c r="E31" s="10"/>
      <c r="F31" s="3"/>
      <c r="G31" s="11"/>
      <c r="H31" s="11"/>
      <c r="I31" s="11"/>
      <c r="J31" s="3"/>
      <c r="K31" s="3"/>
      <c r="L31" s="3"/>
      <c r="M31" s="11"/>
      <c r="N31" s="11"/>
      <c r="O31" s="10"/>
      <c r="P31" s="10"/>
      <c r="Q31" s="10"/>
    </row>
    <row r="32">
      <c r="A32" s="3"/>
      <c r="B32" s="96"/>
      <c r="C32" s="3"/>
      <c r="D32" s="3"/>
      <c r="E32" s="103"/>
      <c r="F32" s="3"/>
      <c r="G32" s="11"/>
      <c r="H32" s="11"/>
      <c r="I32" s="11"/>
      <c r="J32" s="3"/>
      <c r="K32" s="3"/>
      <c r="L32" s="3"/>
      <c r="M32" s="11"/>
      <c r="N32" s="11"/>
      <c r="O32" s="10"/>
      <c r="P32" s="10"/>
      <c r="Q32" s="10"/>
    </row>
    <row r="33">
      <c r="A33" s="3"/>
      <c r="B33" s="96"/>
      <c r="C33" s="3"/>
      <c r="D33" s="97"/>
      <c r="E33" s="103"/>
      <c r="F33" s="11"/>
      <c r="G33" s="11"/>
      <c r="H33" s="11"/>
      <c r="I33" s="11"/>
      <c r="J33" s="3"/>
      <c r="K33" s="3"/>
      <c r="L33" s="3"/>
      <c r="M33" s="11"/>
      <c r="N33" s="11"/>
      <c r="O33" s="10"/>
      <c r="P33" s="10"/>
      <c r="Q33" s="10"/>
    </row>
    <row r="34">
      <c r="A34" s="3"/>
      <c r="B34" s="96"/>
      <c r="C34" s="3"/>
      <c r="D34" s="3"/>
      <c r="E34" s="10"/>
      <c r="F34" s="11"/>
      <c r="G34" s="11"/>
      <c r="H34" s="11"/>
      <c r="I34" s="11"/>
      <c r="J34" s="3"/>
      <c r="K34" s="3"/>
      <c r="L34" s="3"/>
      <c r="M34" s="11"/>
      <c r="N34" s="11"/>
      <c r="O34" s="10"/>
      <c r="P34" s="10"/>
      <c r="Q34" s="10"/>
    </row>
    <row r="35">
      <c r="A35" s="3"/>
      <c r="B35" s="96"/>
      <c r="C35" s="3"/>
      <c r="D35" s="97"/>
      <c r="E35" s="10"/>
      <c r="F35" s="11"/>
      <c r="G35" s="11"/>
      <c r="H35" s="11"/>
      <c r="I35" s="11"/>
      <c r="J35" s="3"/>
      <c r="K35" s="3"/>
      <c r="L35" s="3"/>
      <c r="M35" s="11"/>
      <c r="N35" s="11"/>
      <c r="O35" s="10"/>
      <c r="P35" s="10"/>
      <c r="Q35" s="10"/>
    </row>
    <row r="36">
      <c r="A36" s="3"/>
      <c r="B36" s="96"/>
      <c r="C36" s="3"/>
      <c r="D36" s="3"/>
      <c r="E36" s="10"/>
      <c r="F36" s="11"/>
      <c r="G36" s="11"/>
      <c r="H36" s="11"/>
      <c r="I36" s="11"/>
      <c r="J36" s="3"/>
      <c r="K36" s="3"/>
      <c r="L36" s="3"/>
      <c r="M36" s="11"/>
      <c r="N36" s="11"/>
      <c r="O36" s="10"/>
      <c r="P36" s="10"/>
      <c r="Q36" s="10"/>
    </row>
    <row r="37">
      <c r="A37" s="3"/>
      <c r="B37" s="96"/>
      <c r="C37" s="3"/>
      <c r="D37" s="3"/>
      <c r="E37" s="10"/>
      <c r="F37" s="11"/>
      <c r="G37" s="11"/>
      <c r="H37" s="11"/>
      <c r="I37" s="11"/>
      <c r="J37" s="3"/>
      <c r="K37" s="3"/>
      <c r="L37" s="3"/>
      <c r="M37" s="11"/>
      <c r="N37" s="11"/>
      <c r="O37" s="10"/>
      <c r="P37" s="10"/>
      <c r="Q37" s="10"/>
    </row>
    <row r="38">
      <c r="A38" s="3"/>
      <c r="B38" s="96"/>
      <c r="C38" s="3"/>
      <c r="D38" s="3"/>
      <c r="E38" s="10"/>
      <c r="F38" s="11"/>
      <c r="G38" s="11"/>
      <c r="H38" s="11"/>
      <c r="I38" s="11"/>
      <c r="J38" s="3"/>
      <c r="K38" s="3"/>
      <c r="L38" s="3"/>
      <c r="M38" s="11"/>
      <c r="N38" s="11"/>
      <c r="O38" s="10"/>
      <c r="P38" s="10"/>
      <c r="Q38" s="10"/>
    </row>
    <row r="39">
      <c r="A39" s="3"/>
      <c r="B39" s="96"/>
      <c r="C39" s="3"/>
      <c r="D39" s="3"/>
      <c r="E39" s="10"/>
      <c r="F39" s="11"/>
      <c r="G39" s="11"/>
      <c r="H39" s="11"/>
      <c r="I39" s="11"/>
      <c r="J39" s="3"/>
      <c r="K39" s="3"/>
      <c r="L39" s="3"/>
      <c r="M39" s="11"/>
      <c r="N39" s="11"/>
      <c r="O39" s="10"/>
      <c r="P39" s="10"/>
      <c r="Q39" s="10"/>
    </row>
    <row r="40">
      <c r="A40" s="3"/>
      <c r="B40" s="10"/>
      <c r="C40" s="3"/>
      <c r="D40" s="3"/>
      <c r="E40" s="10"/>
      <c r="F40" s="11"/>
      <c r="G40" s="11"/>
      <c r="H40" s="11"/>
      <c r="I40" s="11"/>
      <c r="J40" s="3"/>
      <c r="K40" s="3"/>
      <c r="L40" s="3"/>
      <c r="M40" s="11"/>
      <c r="N40" s="11"/>
      <c r="O40" s="10"/>
      <c r="P40" s="10"/>
      <c r="Q40" s="10"/>
    </row>
    <row r="41">
      <c r="A41" s="3"/>
      <c r="B41" s="10"/>
      <c r="C41" s="3"/>
      <c r="D41" s="3"/>
      <c r="E41" s="10"/>
      <c r="F41" s="11"/>
      <c r="G41" s="11"/>
      <c r="H41" s="11"/>
      <c r="I41" s="11"/>
      <c r="J41" s="3"/>
      <c r="K41" s="3"/>
      <c r="L41" s="3"/>
      <c r="M41" s="11"/>
      <c r="N41" s="11"/>
    </row>
    <row r="42">
      <c r="A42" s="3"/>
      <c r="B42" s="10"/>
      <c r="C42" s="3"/>
      <c r="D42" s="3"/>
      <c r="E42" s="10"/>
      <c r="F42" s="11"/>
      <c r="G42" s="11"/>
      <c r="H42" s="11"/>
      <c r="I42" s="11"/>
      <c r="J42" s="3"/>
      <c r="K42" s="3"/>
      <c r="L42" s="3"/>
      <c r="M42" s="11"/>
      <c r="N42" s="11"/>
    </row>
    <row r="43">
      <c r="A43" s="3"/>
      <c r="B43" s="10"/>
      <c r="C43" s="3"/>
      <c r="D43" s="3"/>
      <c r="E43" s="10"/>
      <c r="F43" s="11"/>
      <c r="G43" s="11"/>
      <c r="H43" s="11"/>
      <c r="I43" s="11"/>
      <c r="J43" s="3"/>
      <c r="K43" s="3"/>
      <c r="L43" s="3"/>
      <c r="M43" s="11"/>
      <c r="N43" s="11"/>
    </row>
    <row r="44">
      <c r="A44" s="3"/>
      <c r="B44" s="10"/>
      <c r="C44" s="3"/>
      <c r="D44" s="3"/>
      <c r="E44" s="10"/>
      <c r="F44" s="11"/>
      <c r="G44" s="11"/>
      <c r="H44" s="11"/>
      <c r="I44" s="11"/>
      <c r="J44" s="3"/>
      <c r="K44" s="3"/>
      <c r="L44" s="3"/>
      <c r="M44" s="11"/>
      <c r="N44" s="11"/>
    </row>
    <row r="45">
      <c r="A45" s="3"/>
      <c r="B45" s="10"/>
      <c r="C45" s="3"/>
      <c r="D45" s="3"/>
      <c r="E45" s="10"/>
      <c r="F45" s="11"/>
      <c r="G45" s="11"/>
      <c r="H45" s="11"/>
      <c r="I45" s="11"/>
      <c r="J45" s="3"/>
      <c r="K45" s="3"/>
      <c r="L45" s="3"/>
      <c r="M45" s="11"/>
      <c r="N45" s="11"/>
    </row>
    <row r="46">
      <c r="A46" s="3"/>
      <c r="B46" s="10"/>
      <c r="C46" s="3"/>
      <c r="D46" s="3"/>
      <c r="E46" s="10"/>
      <c r="F46" s="11"/>
      <c r="G46" s="11"/>
      <c r="H46" s="11"/>
      <c r="I46" s="11"/>
      <c r="J46" s="3"/>
      <c r="K46" s="3"/>
      <c r="L46" s="3"/>
      <c r="M46" s="11"/>
      <c r="N46" s="11"/>
    </row>
    <row r="47">
      <c r="A47" s="3"/>
      <c r="B47" s="10"/>
      <c r="C47" s="3"/>
      <c r="D47" s="3"/>
      <c r="E47" s="10"/>
      <c r="F47" s="11"/>
      <c r="G47" s="11"/>
      <c r="H47" s="11"/>
      <c r="I47" s="11"/>
      <c r="J47" s="3"/>
      <c r="K47" s="3"/>
      <c r="L47" s="3"/>
      <c r="M47" s="11"/>
      <c r="N47" s="11"/>
    </row>
    <row r="48">
      <c r="A48" s="3"/>
      <c r="B48" s="10"/>
      <c r="C48" s="3"/>
      <c r="D48" s="3"/>
      <c r="E48" s="10"/>
      <c r="F48" s="11"/>
      <c r="G48" s="11"/>
      <c r="H48" s="11"/>
      <c r="I48" s="11"/>
      <c r="J48" s="3"/>
      <c r="K48" s="3"/>
      <c r="L48" s="3"/>
      <c r="M48" s="11"/>
      <c r="N48" s="11"/>
    </row>
    <row r="49">
      <c r="A49" s="3"/>
      <c r="B49" s="10"/>
      <c r="C49" s="3"/>
      <c r="D49" s="3"/>
      <c r="E49" s="10"/>
      <c r="F49" s="11"/>
      <c r="G49" s="11"/>
      <c r="H49" s="11"/>
      <c r="I49" s="11"/>
      <c r="J49" s="3"/>
      <c r="K49" s="3"/>
      <c r="L49" s="3"/>
      <c r="M49" s="11"/>
      <c r="N49" s="11"/>
    </row>
    <row r="50">
      <c r="A50" s="3"/>
      <c r="B50" s="10"/>
      <c r="C50" s="3"/>
      <c r="D50" s="3"/>
      <c r="E50" s="10"/>
      <c r="F50" s="11"/>
      <c r="G50" s="11"/>
      <c r="H50" s="11"/>
      <c r="I50" s="11"/>
      <c r="J50" s="3"/>
      <c r="K50" s="3"/>
      <c r="L50" s="3"/>
      <c r="M50" s="11"/>
      <c r="N50" s="11"/>
    </row>
    <row r="51">
      <c r="A51" s="3"/>
      <c r="B51" s="10"/>
      <c r="C51" s="3"/>
      <c r="D51" s="3"/>
      <c r="E51" s="10"/>
      <c r="F51" s="11"/>
      <c r="G51" s="11"/>
      <c r="H51" s="11"/>
      <c r="I51" s="11"/>
      <c r="J51" s="3"/>
      <c r="K51" s="3"/>
      <c r="L51" s="3"/>
      <c r="M51" s="11"/>
      <c r="N51" s="11"/>
    </row>
    <row r="52">
      <c r="A52" s="3"/>
      <c r="B52" s="10"/>
      <c r="C52" s="3"/>
      <c r="D52" s="3"/>
      <c r="E52" s="10"/>
      <c r="F52" s="11"/>
      <c r="G52" s="11"/>
      <c r="H52" s="11"/>
      <c r="I52" s="11"/>
      <c r="J52" s="3"/>
      <c r="K52" s="3"/>
      <c r="L52" s="3"/>
      <c r="M52" s="11"/>
      <c r="N52" s="11"/>
    </row>
    <row r="53">
      <c r="A53" s="3"/>
      <c r="B53" s="10"/>
      <c r="C53" s="3"/>
      <c r="D53" s="3"/>
      <c r="E53" s="10"/>
      <c r="F53" s="11"/>
      <c r="G53" s="11"/>
      <c r="H53" s="11"/>
      <c r="I53" s="11"/>
      <c r="J53" s="3"/>
      <c r="K53" s="3"/>
      <c r="L53" s="3"/>
      <c r="M53" s="11"/>
      <c r="N53" s="11"/>
    </row>
    <row r="54">
      <c r="A54" s="3"/>
      <c r="B54" s="10"/>
      <c r="C54" s="3"/>
      <c r="D54" s="3"/>
      <c r="E54" s="10"/>
      <c r="F54" s="11"/>
      <c r="G54" s="11"/>
      <c r="H54" s="11"/>
      <c r="I54" s="11"/>
      <c r="J54" s="3"/>
      <c r="K54" s="3"/>
      <c r="L54" s="3"/>
      <c r="M54" s="11"/>
      <c r="N54" s="11"/>
    </row>
    <row r="55">
      <c r="A55" s="3"/>
      <c r="B55" s="10"/>
      <c r="C55" s="3"/>
      <c r="D55" s="3"/>
      <c r="E55" s="10"/>
      <c r="F55" s="11"/>
      <c r="G55" s="11"/>
      <c r="H55" s="11"/>
      <c r="I55" s="11"/>
      <c r="J55" s="3"/>
      <c r="K55" s="3"/>
      <c r="L55" s="3"/>
      <c r="M55" s="11"/>
      <c r="N55" s="11"/>
    </row>
    <row r="56">
      <c r="A56" s="3"/>
      <c r="B56" s="10"/>
      <c r="C56" s="3"/>
      <c r="D56" s="3"/>
      <c r="E56" s="10"/>
      <c r="F56" s="11"/>
      <c r="G56" s="11"/>
      <c r="H56" s="11"/>
      <c r="I56" s="11"/>
      <c r="J56" s="3"/>
      <c r="K56" s="3"/>
      <c r="L56" s="3"/>
      <c r="M56" s="11"/>
      <c r="N56" s="11"/>
    </row>
    <row r="57">
      <c r="A57" s="3"/>
      <c r="B57" s="10"/>
      <c r="C57" s="3"/>
      <c r="D57" s="3"/>
      <c r="E57" s="10"/>
      <c r="F57" s="11"/>
      <c r="G57" s="11"/>
      <c r="H57" s="11"/>
      <c r="I57" s="11"/>
      <c r="J57" s="3"/>
      <c r="K57" s="3"/>
      <c r="L57" s="3"/>
      <c r="M57" s="11"/>
      <c r="N57" s="11"/>
    </row>
    <row r="58">
      <c r="A58" s="3"/>
      <c r="B58" s="10"/>
      <c r="C58" s="3"/>
      <c r="D58" s="3"/>
      <c r="E58" s="10"/>
      <c r="F58" s="11"/>
      <c r="G58" s="11"/>
      <c r="H58" s="11"/>
      <c r="I58" s="11"/>
      <c r="J58" s="3"/>
      <c r="K58" s="3"/>
      <c r="L58" s="3"/>
      <c r="M58" s="11"/>
      <c r="N58" s="11"/>
    </row>
    <row r="59">
      <c r="A59" s="3"/>
      <c r="B59" s="10"/>
      <c r="C59" s="3"/>
      <c r="D59" s="3"/>
      <c r="E59" s="10"/>
      <c r="F59" s="11"/>
      <c r="G59" s="11"/>
      <c r="H59" s="11"/>
      <c r="I59" s="11"/>
      <c r="J59" s="3"/>
      <c r="K59" s="3"/>
      <c r="L59" s="3"/>
      <c r="M59" s="11"/>
      <c r="N59" s="11"/>
    </row>
  </sheetData>
  <hyperlinks>
    <hyperlink r:id="rId1" ref="E19"/>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13"/>
    <col customWidth="1" min="3" max="3" width="15.25"/>
    <col customWidth="1" min="4" max="4" width="26.88"/>
    <col customWidth="1" min="5" max="5" width="39.88"/>
    <col customWidth="1" min="6" max="6" width="18.25"/>
  </cols>
  <sheetData>
    <row r="2">
      <c r="A2" s="2" t="s">
        <v>625</v>
      </c>
      <c r="B2" s="2" t="s">
        <v>259</v>
      </c>
    </row>
    <row r="3">
      <c r="F3" s="3" t="s">
        <v>2</v>
      </c>
      <c r="G3" s="62"/>
    </row>
    <row r="4">
      <c r="A4" s="4" t="s">
        <v>3</v>
      </c>
      <c r="B4" s="4" t="s">
        <v>4</v>
      </c>
      <c r="C4" s="4" t="s">
        <v>5</v>
      </c>
      <c r="D4" s="4" t="s">
        <v>6</v>
      </c>
      <c r="E4" s="4" t="s">
        <v>7</v>
      </c>
      <c r="F4" s="6">
        <v>45323.0</v>
      </c>
      <c r="G4" s="6">
        <v>45352.0</v>
      </c>
      <c r="H4" s="6">
        <v>45383.0</v>
      </c>
      <c r="I4" s="6">
        <v>45413.0</v>
      </c>
      <c r="J4" s="6">
        <v>45444.0</v>
      </c>
      <c r="K4" s="6">
        <v>45474.0</v>
      </c>
      <c r="L4" s="9">
        <v>45505.0</v>
      </c>
      <c r="M4" s="11"/>
      <c r="N4" s="10"/>
      <c r="O4" s="10"/>
      <c r="P4" s="10"/>
      <c r="Q4" s="10"/>
    </row>
    <row r="5">
      <c r="A5" s="22">
        <v>1.0</v>
      </c>
      <c r="B5" s="99" t="s">
        <v>626</v>
      </c>
      <c r="C5" s="22" t="s">
        <v>375</v>
      </c>
      <c r="D5" s="88" t="s">
        <v>203</v>
      </c>
      <c r="E5" s="91" t="str">
        <f>HYPERLINK("https://www.city.ageo.lg.jp/page/036118051603.html", "Link to " &amp; "Saitama Prefrecture : " &amp; $B5 &amp;" City")</f>
        <v>Link to Saitama Prefrecture : Ageo City</v>
      </c>
      <c r="F5" s="22"/>
      <c r="G5" s="23"/>
      <c r="H5" s="23"/>
      <c r="I5" s="23"/>
      <c r="J5" s="22"/>
      <c r="K5" s="22"/>
      <c r="L5" s="22"/>
      <c r="M5" s="23"/>
      <c r="N5" s="24"/>
      <c r="O5" s="24"/>
      <c r="P5" s="24"/>
      <c r="Q5" s="24"/>
      <c r="R5" s="25"/>
      <c r="S5" s="25"/>
      <c r="T5" s="25"/>
      <c r="U5" s="25"/>
      <c r="V5" s="25"/>
      <c r="W5" s="25"/>
      <c r="X5" s="25"/>
      <c r="Y5" s="25"/>
    </row>
    <row r="6">
      <c r="A6" s="34">
        <f t="shared" ref="A6:A66" si="1">$A5+1</f>
        <v>2</v>
      </c>
      <c r="B6" s="100" t="s">
        <v>627</v>
      </c>
      <c r="C6" s="34" t="s">
        <v>463</v>
      </c>
      <c r="D6" s="34"/>
      <c r="E6" s="37"/>
      <c r="F6" s="34"/>
      <c r="G6" s="36"/>
      <c r="H6" s="36"/>
      <c r="I6" s="36"/>
      <c r="J6" s="34"/>
      <c r="K6" s="34"/>
      <c r="L6" s="34"/>
      <c r="M6" s="36"/>
      <c r="N6" s="37"/>
      <c r="O6" s="37"/>
      <c r="P6" s="37"/>
      <c r="Q6" s="37"/>
      <c r="R6" s="38"/>
      <c r="S6" s="38"/>
      <c r="T6" s="38"/>
      <c r="U6" s="38"/>
      <c r="V6" s="38"/>
      <c r="W6" s="38"/>
      <c r="X6" s="38"/>
      <c r="Y6" s="38"/>
    </row>
    <row r="7">
      <c r="A7" s="22">
        <f t="shared" si="1"/>
        <v>3</v>
      </c>
      <c r="B7" s="99" t="s">
        <v>628</v>
      </c>
      <c r="C7" s="22" t="s">
        <v>375</v>
      </c>
      <c r="D7" s="22" t="s">
        <v>203</v>
      </c>
      <c r="E7" s="91" t="str">
        <f>HYPERLINK("https://city.chichibu.lg.jp/", "Link to " &amp; "Saitama Prefrecture : " &amp; $B7 &amp;" City")</f>
        <v>Link to Saitama Prefrecture : Chichibu City</v>
      </c>
      <c r="F7" s="22"/>
      <c r="G7" s="23"/>
      <c r="H7" s="23"/>
      <c r="I7" s="23"/>
      <c r="J7" s="22"/>
      <c r="K7" s="22"/>
      <c r="L7" s="22"/>
      <c r="M7" s="23"/>
      <c r="N7" s="24"/>
      <c r="O7" s="24"/>
      <c r="P7" s="24"/>
      <c r="Q7" s="24"/>
      <c r="R7" s="25"/>
      <c r="S7" s="25"/>
      <c r="T7" s="25"/>
      <c r="U7" s="25"/>
      <c r="V7" s="25"/>
      <c r="W7" s="25"/>
      <c r="X7" s="25"/>
      <c r="Y7" s="25"/>
    </row>
    <row r="8">
      <c r="A8" s="34">
        <f t="shared" si="1"/>
        <v>4</v>
      </c>
      <c r="B8" s="100" t="s">
        <v>345</v>
      </c>
      <c r="C8" s="34" t="s">
        <v>463</v>
      </c>
      <c r="D8" s="34"/>
      <c r="E8" s="37"/>
      <c r="F8" s="34"/>
      <c r="G8" s="36"/>
      <c r="H8" s="36"/>
      <c r="I8" s="36"/>
      <c r="J8" s="34"/>
      <c r="K8" s="34"/>
      <c r="L8" s="34"/>
      <c r="M8" s="36"/>
      <c r="N8" s="37"/>
      <c r="O8" s="37"/>
      <c r="P8" s="37"/>
      <c r="Q8" s="37"/>
      <c r="R8" s="38"/>
      <c r="S8" s="38"/>
      <c r="T8" s="38"/>
      <c r="U8" s="38"/>
      <c r="V8" s="38"/>
      <c r="W8" s="38"/>
      <c r="X8" s="38"/>
      <c r="Y8" s="38"/>
    </row>
    <row r="9">
      <c r="A9" s="34">
        <f t="shared" si="1"/>
        <v>5</v>
      </c>
      <c r="B9" s="34" t="s">
        <v>629</v>
      </c>
      <c r="C9" s="34" t="s">
        <v>463</v>
      </c>
      <c r="D9" s="34"/>
      <c r="E9" s="37"/>
      <c r="F9" s="34"/>
      <c r="G9" s="36"/>
      <c r="H9" s="36"/>
      <c r="I9" s="36"/>
      <c r="J9" s="34"/>
      <c r="K9" s="34"/>
      <c r="L9" s="34"/>
      <c r="M9" s="36"/>
      <c r="N9" s="37"/>
      <c r="O9" s="37"/>
      <c r="P9" s="37"/>
      <c r="Q9" s="37"/>
      <c r="R9" s="38"/>
      <c r="S9" s="38"/>
      <c r="T9" s="38"/>
      <c r="U9" s="38"/>
      <c r="V9" s="38"/>
      <c r="W9" s="38"/>
      <c r="X9" s="38"/>
      <c r="Y9" s="38"/>
    </row>
    <row r="10">
      <c r="A10" s="22">
        <f t="shared" si="1"/>
        <v>6</v>
      </c>
      <c r="B10" s="99" t="s">
        <v>630</v>
      </c>
      <c r="C10" s="22" t="s">
        <v>375</v>
      </c>
      <c r="D10" s="88" t="s">
        <v>203</v>
      </c>
      <c r="E10" s="91" t="str">
        <f>HYPERLINK("https://akiyabank.saihoku-ijuu.com/?property_type=&amp;contract_type=&amp;cat_property=fukaya&amp;status=&amp;range_sale=&amp;range_lease=&amp;s_value=&amp;s=*&amp;post_type=property", "Link to " &amp; "Saitama Prefrecture : " &amp; $B10 &amp;" City")</f>
        <v>Link to Saitama Prefrecture : Fukaya City</v>
      </c>
      <c r="F10" s="23"/>
      <c r="G10" s="23"/>
      <c r="H10" s="23"/>
      <c r="I10" s="23"/>
      <c r="J10" s="22"/>
      <c r="K10" s="22"/>
      <c r="L10" s="22"/>
      <c r="M10" s="23"/>
      <c r="N10" s="24"/>
      <c r="O10" s="24"/>
      <c r="P10" s="24"/>
      <c r="Q10" s="24"/>
      <c r="R10" s="25"/>
      <c r="S10" s="25"/>
      <c r="T10" s="25"/>
      <c r="U10" s="25"/>
      <c r="V10" s="25"/>
      <c r="W10" s="25"/>
      <c r="X10" s="25"/>
      <c r="Y10" s="25"/>
    </row>
    <row r="11">
      <c r="A11" s="22">
        <f t="shared" si="1"/>
        <v>7</v>
      </c>
      <c r="B11" s="99" t="s">
        <v>631</v>
      </c>
      <c r="C11" s="22" t="s">
        <v>375</v>
      </c>
      <c r="D11" s="22" t="s">
        <v>203</v>
      </c>
      <c r="E11" s="91" t="str">
        <f>HYPERLINK("https://www.city.gyoda.lg.jp/kurashi/iju_teiju/akiya_bank/index.html", "Link to " &amp; "Saitama Prefrecture : " &amp; $B11 &amp;" City")</f>
        <v>Link to Saitama Prefrecture : Gyōda City</v>
      </c>
      <c r="F11" s="23"/>
      <c r="G11" s="23"/>
      <c r="H11" s="23"/>
      <c r="I11" s="23"/>
      <c r="J11" s="22"/>
      <c r="K11" s="22"/>
      <c r="L11" s="22"/>
      <c r="M11" s="23"/>
      <c r="N11" s="24"/>
      <c r="O11" s="24"/>
      <c r="P11" s="24"/>
      <c r="Q11" s="24"/>
      <c r="R11" s="25"/>
      <c r="S11" s="25"/>
      <c r="T11" s="25"/>
      <c r="U11" s="25"/>
      <c r="V11" s="25"/>
      <c r="W11" s="25"/>
      <c r="X11" s="25"/>
      <c r="Y11" s="25"/>
    </row>
    <row r="12">
      <c r="A12" s="22">
        <f t="shared" si="1"/>
        <v>8</v>
      </c>
      <c r="B12" s="99" t="s">
        <v>632</v>
      </c>
      <c r="C12" s="22" t="s">
        <v>375</v>
      </c>
      <c r="D12" s="22" t="s">
        <v>203</v>
      </c>
      <c r="E12" s="91" t="str">
        <f>HYPERLINK("https://www.city.hanno.lg.jp/article/detail/874/", "Link to " &amp; "Saitama Prefrecture : " &amp; $B12 &amp;" City")</f>
        <v>Link to Saitama Prefrecture : Hannō City</v>
      </c>
      <c r="F12" s="22"/>
      <c r="G12" s="23"/>
      <c r="H12" s="23"/>
      <c r="I12" s="23"/>
      <c r="J12" s="22"/>
      <c r="K12" s="22"/>
      <c r="L12" s="22"/>
      <c r="M12" s="23"/>
      <c r="N12" s="24"/>
      <c r="O12" s="24"/>
      <c r="P12" s="24"/>
      <c r="Q12" s="24"/>
      <c r="R12" s="25"/>
      <c r="S12" s="25"/>
      <c r="T12" s="25"/>
      <c r="U12" s="25"/>
      <c r="V12" s="25"/>
      <c r="W12" s="25"/>
      <c r="X12" s="25"/>
      <c r="Y12" s="25"/>
    </row>
    <row r="13">
      <c r="A13" s="34">
        <f t="shared" si="1"/>
        <v>9</v>
      </c>
      <c r="B13" s="100" t="s">
        <v>633</v>
      </c>
      <c r="C13" s="34" t="s">
        <v>375</v>
      </c>
      <c r="D13" s="34" t="s">
        <v>130</v>
      </c>
      <c r="E13" s="89" t="str">
        <f>HYPERLINK("https://www.city.hanyu.lg.jp/docs/2014051500066/", "Link to " &amp; "Saitama Prefrecture : " &amp; $B13 &amp;" City")</f>
        <v>Link to Saitama Prefrecture : Hanyū City</v>
      </c>
      <c r="F13" s="36"/>
      <c r="G13" s="36"/>
      <c r="H13" s="36"/>
      <c r="I13" s="36"/>
      <c r="J13" s="34"/>
      <c r="K13" s="34"/>
      <c r="L13" s="34"/>
      <c r="M13" s="36"/>
      <c r="N13" s="37"/>
      <c r="O13" s="37"/>
      <c r="P13" s="37"/>
      <c r="Q13" s="37"/>
      <c r="R13" s="38"/>
      <c r="S13" s="38"/>
      <c r="T13" s="38"/>
      <c r="U13" s="38"/>
      <c r="V13" s="38"/>
      <c r="W13" s="38"/>
      <c r="X13" s="38"/>
      <c r="Y13" s="38"/>
    </row>
    <row r="14">
      <c r="A14" s="22">
        <f t="shared" si="1"/>
        <v>10</v>
      </c>
      <c r="B14" s="99" t="s">
        <v>634</v>
      </c>
      <c r="C14" s="22" t="s">
        <v>375</v>
      </c>
      <c r="D14" s="22" t="s">
        <v>635</v>
      </c>
      <c r="E14" s="91" t="str">
        <f>HYPERLINK("https://www.city.hasuda.saitama.jp/kenchiku/akiyabanku.html", "Link to " &amp; "Saitama Prefrecture : " &amp; $B14 &amp;" City")</f>
        <v>Link to Saitama Prefrecture : Hasuda City</v>
      </c>
      <c r="F14" s="23"/>
      <c r="G14" s="23"/>
      <c r="H14" s="23"/>
      <c r="I14" s="23"/>
      <c r="J14" s="22"/>
      <c r="K14" s="22"/>
      <c r="L14" s="22"/>
      <c r="M14" s="23"/>
      <c r="N14" s="24"/>
      <c r="O14" s="24"/>
      <c r="P14" s="24"/>
      <c r="Q14" s="24"/>
      <c r="R14" s="25"/>
      <c r="S14" s="25"/>
      <c r="T14" s="25"/>
      <c r="U14" s="25"/>
      <c r="V14" s="25"/>
      <c r="W14" s="25"/>
      <c r="X14" s="25"/>
      <c r="Y14" s="25"/>
    </row>
    <row r="15">
      <c r="A15" s="34">
        <f t="shared" si="1"/>
        <v>11</v>
      </c>
      <c r="B15" s="100" t="s">
        <v>636</v>
      </c>
      <c r="C15" s="34" t="s">
        <v>375</v>
      </c>
      <c r="D15" s="34" t="s">
        <v>130</v>
      </c>
      <c r="E15" s="89" t="str">
        <f>HYPERLINK("https://hatoyama-akiyabank.com/properties/", "Link to " &amp; "Saitama Prefrecture : " &amp; $B15 &amp;" City")</f>
        <v>Link to Saitama Prefrecture : Hatoyama City</v>
      </c>
      <c r="F15" s="36"/>
      <c r="G15" s="36"/>
      <c r="H15" s="36"/>
      <c r="I15" s="36"/>
      <c r="J15" s="34"/>
      <c r="K15" s="34"/>
      <c r="L15" s="34"/>
      <c r="M15" s="36"/>
      <c r="N15" s="37"/>
      <c r="O15" s="37"/>
      <c r="P15" s="37"/>
      <c r="Q15" s="37"/>
      <c r="R15" s="38"/>
      <c r="S15" s="38"/>
      <c r="T15" s="38"/>
      <c r="U15" s="38"/>
      <c r="V15" s="38"/>
      <c r="W15" s="38"/>
      <c r="X15" s="38"/>
      <c r="Y15" s="38"/>
    </row>
    <row r="16">
      <c r="A16" s="29">
        <f t="shared" si="1"/>
        <v>12</v>
      </c>
      <c r="B16" s="101" t="s">
        <v>637</v>
      </c>
      <c r="C16" s="29" t="s">
        <v>375</v>
      </c>
      <c r="D16" s="29" t="s">
        <v>607</v>
      </c>
      <c r="E16" s="90" t="str">
        <f>HYPERLINK("https://www.city.hidaka.lg.jp/soshiki/toshiseibi/toshikeikaku/keikakusuishinkigyoyuchijyuutakuseisaku/sumai/akiya/10387.html", "Link to " &amp; "Saitama Prefrecture : " &amp; $B16 &amp;" City")</f>
        <v>Link to Saitama Prefrecture : Hidaka City</v>
      </c>
      <c r="F16" s="31"/>
      <c r="G16" s="31"/>
      <c r="H16" s="31"/>
      <c r="I16" s="31"/>
      <c r="J16" s="29"/>
      <c r="K16" s="29"/>
      <c r="L16" s="29"/>
      <c r="M16" s="31"/>
      <c r="N16" s="32"/>
      <c r="O16" s="32"/>
      <c r="P16" s="32"/>
      <c r="Q16" s="32"/>
      <c r="R16" s="33"/>
      <c r="S16" s="33"/>
      <c r="T16" s="33"/>
      <c r="U16" s="33"/>
      <c r="V16" s="33"/>
      <c r="W16" s="33"/>
      <c r="X16" s="33"/>
      <c r="Y16" s="33"/>
    </row>
    <row r="17">
      <c r="A17" s="22">
        <f t="shared" si="1"/>
        <v>13</v>
      </c>
      <c r="B17" s="99" t="s">
        <v>638</v>
      </c>
      <c r="C17" s="22" t="s">
        <v>375</v>
      </c>
      <c r="D17" s="22" t="s">
        <v>203</v>
      </c>
      <c r="E17" s="91" t="str">
        <f>HYPERLINK("http://www.higashichichibu-akiya.jp/riyou/r-list.php", "Link to " &amp; "Saitama Prefrecture : " &amp; $B17 &amp;" City")</f>
        <v>Link to Saitama Prefrecture : Higashichichibu City</v>
      </c>
      <c r="F17" s="22"/>
      <c r="G17" s="23"/>
      <c r="H17" s="23"/>
      <c r="I17" s="23"/>
      <c r="J17" s="22"/>
      <c r="K17" s="22"/>
      <c r="L17" s="22"/>
      <c r="M17" s="23"/>
      <c r="N17" s="24"/>
      <c r="O17" s="24"/>
      <c r="P17" s="24"/>
      <c r="Q17" s="24"/>
      <c r="R17" s="25"/>
      <c r="S17" s="25"/>
      <c r="T17" s="25"/>
      <c r="U17" s="25"/>
      <c r="V17" s="25"/>
      <c r="W17" s="25"/>
      <c r="X17" s="25"/>
      <c r="Y17" s="25"/>
    </row>
    <row r="18">
      <c r="A18" s="22">
        <f t="shared" si="1"/>
        <v>14</v>
      </c>
      <c r="B18" s="99" t="s">
        <v>639</v>
      </c>
      <c r="C18" s="22" t="s">
        <v>375</v>
      </c>
      <c r="D18" s="88" t="s">
        <v>203</v>
      </c>
      <c r="E18" s="91" t="str">
        <f>HYPERLINK("https://www.city.higashimatsuyama.lg.jp/kurashi/sumai/Vacant_house/akiyabank_tourokubukenitiran/1507771036851.html", "Link to " &amp; "Saitama Prefrecture : " &amp; $B18 &amp;" City")</f>
        <v>Link to Saitama Prefrecture : Higashimatsuyama City</v>
      </c>
      <c r="F18" s="23"/>
      <c r="G18" s="23"/>
      <c r="H18" s="23"/>
      <c r="I18" s="23"/>
      <c r="J18" s="22"/>
      <c r="K18" s="22"/>
      <c r="L18" s="22"/>
      <c r="M18" s="23"/>
      <c r="N18" s="24"/>
      <c r="O18" s="24"/>
      <c r="P18" s="24"/>
      <c r="Q18" s="24"/>
      <c r="R18" s="25"/>
      <c r="S18" s="25"/>
      <c r="T18" s="25"/>
      <c r="U18" s="25"/>
      <c r="V18" s="25"/>
      <c r="W18" s="25"/>
      <c r="X18" s="25"/>
      <c r="Y18" s="25"/>
    </row>
    <row r="19">
      <c r="A19" s="34">
        <f t="shared" si="1"/>
        <v>15</v>
      </c>
      <c r="B19" s="100" t="s">
        <v>640</v>
      </c>
      <c r="C19" s="34" t="s">
        <v>375</v>
      </c>
      <c r="D19" s="93" t="s">
        <v>130</v>
      </c>
      <c r="E19" s="89" t="str">
        <f>HYPERLINK("https://akiyabank.saihoku-ijuu.com/?property_type=&amp;contract_type=&amp;cat_property=honjo&amp;status=&amp;range_sale=&amp;range_lease=&amp;s_value=&amp;s=*&amp;post_type=property", "Link to " &amp; "Saitama Prefrecture : " &amp; $B19 &amp;" City")</f>
        <v>Link to Saitama Prefrecture : Honjō City</v>
      </c>
      <c r="F19" s="34"/>
      <c r="G19" s="36"/>
      <c r="H19" s="36"/>
      <c r="I19" s="36"/>
      <c r="J19" s="34"/>
      <c r="K19" s="34"/>
      <c r="L19" s="34"/>
      <c r="M19" s="36"/>
      <c r="N19" s="37"/>
      <c r="O19" s="37"/>
      <c r="P19" s="37"/>
      <c r="Q19" s="37"/>
      <c r="R19" s="38"/>
      <c r="S19" s="38"/>
      <c r="T19" s="38"/>
      <c r="U19" s="38"/>
      <c r="V19" s="38"/>
      <c r="W19" s="38"/>
      <c r="X19" s="38"/>
      <c r="Y19" s="38"/>
    </row>
    <row r="20">
      <c r="A20" s="22">
        <f t="shared" si="1"/>
        <v>16</v>
      </c>
      <c r="B20" s="99" t="s">
        <v>355</v>
      </c>
      <c r="C20" s="22" t="s">
        <v>375</v>
      </c>
      <c r="D20" s="88" t="s">
        <v>203</v>
      </c>
      <c r="E20" s="91" t="str">
        <f>HYPERLINK("https://www.town.saitama-ina.lg.jp/0000004423.html", "Link to " &amp; "Saitama Prefrecture : " &amp; $B20 &amp;" City")</f>
        <v>Link to Saitama Prefrecture : Ina City</v>
      </c>
      <c r="F20" s="22"/>
      <c r="G20" s="23"/>
      <c r="H20" s="23"/>
      <c r="I20" s="23"/>
      <c r="J20" s="22"/>
      <c r="K20" s="22"/>
      <c r="L20" s="22"/>
      <c r="M20" s="23"/>
      <c r="N20" s="24"/>
      <c r="O20" s="24"/>
      <c r="P20" s="24"/>
      <c r="Q20" s="24"/>
      <c r="R20" s="25"/>
      <c r="S20" s="25"/>
      <c r="T20" s="25"/>
      <c r="U20" s="25"/>
      <c r="V20" s="25"/>
      <c r="W20" s="25"/>
      <c r="X20" s="25"/>
      <c r="Y20" s="25"/>
    </row>
    <row r="21">
      <c r="A21" s="22">
        <f t="shared" si="1"/>
        <v>17</v>
      </c>
      <c r="B21" s="99" t="s">
        <v>641</v>
      </c>
      <c r="C21" s="22" t="s">
        <v>375</v>
      </c>
      <c r="D21" s="22" t="s">
        <v>203</v>
      </c>
      <c r="E21" s="91" t="str">
        <f>HYPERLINK("https://www.city.iruma.saitama.jp/kurashi/sumai_kurashi/sumai_kankyo/1008156.html", "Link to " &amp; "Saitama Prefrecture : " &amp; $B21 &amp;" City")</f>
        <v>Link to Saitama Prefrecture : Iruma City</v>
      </c>
      <c r="F21" s="22"/>
      <c r="G21" s="23"/>
      <c r="H21" s="23"/>
      <c r="I21" s="23"/>
      <c r="J21" s="22"/>
      <c r="K21" s="22"/>
      <c r="L21" s="22"/>
      <c r="M21" s="23"/>
      <c r="N21" s="24"/>
      <c r="O21" s="24"/>
      <c r="P21" s="24"/>
      <c r="Q21" s="24"/>
      <c r="R21" s="25"/>
      <c r="S21" s="25"/>
      <c r="T21" s="25"/>
      <c r="U21" s="25"/>
      <c r="V21" s="25"/>
      <c r="W21" s="25"/>
      <c r="X21" s="25"/>
      <c r="Y21" s="25"/>
    </row>
    <row r="22">
      <c r="A22" s="34">
        <f t="shared" si="1"/>
        <v>18</v>
      </c>
      <c r="B22" s="100" t="s">
        <v>642</v>
      </c>
      <c r="C22" s="34" t="s">
        <v>375</v>
      </c>
      <c r="D22" s="93" t="s">
        <v>130</v>
      </c>
      <c r="E22" s="89" t="str">
        <f>HYPERLINK("https://akiyabank.saihoku-ijuu.com/property/kamikawa/", "Link to " &amp; "Saitama Prefrecture : " &amp; $B22 &amp;" City")</f>
        <v>Link to Saitama Prefrecture : Kamikawa City</v>
      </c>
      <c r="F22" s="36"/>
      <c r="G22" s="36"/>
      <c r="H22" s="36"/>
      <c r="I22" s="36"/>
      <c r="J22" s="34"/>
      <c r="K22" s="34"/>
      <c r="L22" s="34"/>
      <c r="M22" s="36"/>
      <c r="N22" s="37"/>
      <c r="O22" s="37"/>
      <c r="P22" s="37"/>
      <c r="Q22" s="37"/>
      <c r="R22" s="38"/>
      <c r="S22" s="38"/>
      <c r="T22" s="38"/>
      <c r="U22" s="38"/>
      <c r="V22" s="38"/>
      <c r="W22" s="38"/>
      <c r="X22" s="38"/>
      <c r="Y22" s="38"/>
    </row>
    <row r="23">
      <c r="A23" s="34">
        <f t="shared" si="1"/>
        <v>19</v>
      </c>
      <c r="B23" s="100" t="s">
        <v>643</v>
      </c>
      <c r="C23" s="34" t="s">
        <v>375</v>
      </c>
      <c r="D23" s="34" t="s">
        <v>130</v>
      </c>
      <c r="E23" s="89" t="str">
        <f>HYPERLINK("https://akiyabank.saihoku-ijuu.com/?property_type=&amp;contract_type=&amp;cat_property=kamisato&amp;status=&amp;range_sale=&amp;range_lease=&amp;s_value=&amp;s=*&amp;post_type=property", "Link to " &amp; "Saitama Prefrecture : " &amp; $B23 &amp;" City")</f>
        <v>Link to Saitama Prefrecture : Kamisato City</v>
      </c>
      <c r="F23" s="34"/>
      <c r="G23" s="36"/>
      <c r="H23" s="36"/>
      <c r="I23" s="36"/>
      <c r="J23" s="34"/>
      <c r="K23" s="34"/>
      <c r="L23" s="34"/>
      <c r="M23" s="36"/>
      <c r="N23" s="37"/>
      <c r="O23" s="37"/>
      <c r="P23" s="37"/>
      <c r="Q23" s="37"/>
      <c r="R23" s="38"/>
      <c r="S23" s="38"/>
      <c r="T23" s="38"/>
      <c r="U23" s="38"/>
      <c r="V23" s="38"/>
      <c r="W23" s="38"/>
      <c r="X23" s="38"/>
      <c r="Y23" s="38"/>
    </row>
    <row r="24">
      <c r="A24" s="34">
        <f t="shared" si="1"/>
        <v>20</v>
      </c>
      <c r="B24" s="100" t="s">
        <v>644</v>
      </c>
      <c r="C24" s="34" t="s">
        <v>645</v>
      </c>
      <c r="D24" s="34"/>
      <c r="E24" s="37"/>
      <c r="F24" s="34"/>
      <c r="G24" s="36"/>
      <c r="H24" s="36"/>
      <c r="I24" s="36"/>
      <c r="J24" s="34"/>
      <c r="K24" s="34"/>
      <c r="L24" s="34"/>
      <c r="M24" s="36"/>
      <c r="N24" s="37"/>
      <c r="O24" s="37"/>
      <c r="P24" s="37"/>
      <c r="Q24" s="37"/>
      <c r="R24" s="38"/>
      <c r="S24" s="38"/>
      <c r="T24" s="38"/>
      <c r="U24" s="38"/>
      <c r="V24" s="38"/>
      <c r="W24" s="38"/>
      <c r="X24" s="38"/>
      <c r="Y24" s="38"/>
    </row>
    <row r="25">
      <c r="A25" s="22">
        <f t="shared" si="1"/>
        <v>21</v>
      </c>
      <c r="B25" s="99" t="s">
        <v>509</v>
      </c>
      <c r="C25" s="22" t="s">
        <v>646</v>
      </c>
      <c r="D25" s="22" t="s">
        <v>616</v>
      </c>
      <c r="E25" s="91" t="str">
        <f>HYPERLINK("https://www.city.kawagoe.saitama.jp/kurashi/jutaku/akiyataisaku/banktouroku.html", "Link to " &amp; "Saitama Prefrecture : " &amp; $B25 &amp;" City")</f>
        <v>Link to Saitama Prefrecture : Kawagoe City</v>
      </c>
      <c r="F25" s="23"/>
      <c r="G25" s="22"/>
      <c r="H25" s="23"/>
      <c r="I25" s="23"/>
      <c r="J25" s="22"/>
      <c r="K25" s="22"/>
      <c r="L25" s="22"/>
      <c r="M25" s="23"/>
      <c r="N25" s="24"/>
      <c r="O25" s="24"/>
      <c r="P25" s="24"/>
      <c r="Q25" s="24"/>
      <c r="R25" s="25"/>
      <c r="S25" s="25"/>
      <c r="T25" s="25"/>
      <c r="U25" s="25"/>
      <c r="V25" s="25"/>
      <c r="W25" s="25"/>
      <c r="X25" s="25"/>
      <c r="Y25" s="25"/>
    </row>
    <row r="26">
      <c r="A26" s="34">
        <f t="shared" si="1"/>
        <v>22</v>
      </c>
      <c r="B26" s="100" t="s">
        <v>647</v>
      </c>
      <c r="C26" s="34" t="s">
        <v>463</v>
      </c>
      <c r="D26" s="34"/>
      <c r="E26" s="37"/>
      <c r="F26" s="36"/>
      <c r="G26" s="36"/>
      <c r="H26" s="36"/>
      <c r="I26" s="36"/>
      <c r="J26" s="34"/>
      <c r="K26" s="34"/>
      <c r="L26" s="34"/>
      <c r="M26" s="36"/>
      <c r="N26" s="37"/>
      <c r="O26" s="37"/>
      <c r="P26" s="37"/>
      <c r="Q26" s="37"/>
      <c r="R26" s="38"/>
      <c r="S26" s="38"/>
      <c r="T26" s="38"/>
      <c r="U26" s="38"/>
      <c r="V26" s="38"/>
      <c r="W26" s="38"/>
      <c r="X26" s="38"/>
      <c r="Y26" s="38"/>
    </row>
    <row r="27">
      <c r="A27" s="29">
        <f t="shared" si="1"/>
        <v>23</v>
      </c>
      <c r="B27" s="101" t="s">
        <v>648</v>
      </c>
      <c r="C27" s="29" t="s">
        <v>375</v>
      </c>
      <c r="D27" s="29" t="s">
        <v>607</v>
      </c>
      <c r="E27" s="90" t="str">
        <f>HYPERLINK("https://www.town.kawajima.saitama.jp/1533.htm", "Link to " &amp; "Saitama Prefrecture : " &amp; $B27 &amp;" City")</f>
        <v>Link to Saitama Prefrecture : Kawajima City</v>
      </c>
      <c r="F27" s="31"/>
      <c r="G27" s="31"/>
      <c r="H27" s="31"/>
      <c r="I27" s="31"/>
      <c r="J27" s="29"/>
      <c r="K27" s="29"/>
      <c r="L27" s="29"/>
      <c r="M27" s="31"/>
      <c r="N27" s="32"/>
      <c r="O27" s="32"/>
      <c r="P27" s="32"/>
      <c r="Q27" s="32"/>
      <c r="R27" s="33"/>
      <c r="S27" s="33"/>
      <c r="T27" s="33"/>
      <c r="U27" s="33"/>
      <c r="V27" s="33"/>
      <c r="W27" s="33"/>
      <c r="X27" s="33"/>
      <c r="Y27" s="33"/>
    </row>
    <row r="28">
      <c r="A28" s="22">
        <f t="shared" si="1"/>
        <v>24</v>
      </c>
      <c r="B28" s="99" t="s">
        <v>649</v>
      </c>
      <c r="C28" s="22" t="s">
        <v>375</v>
      </c>
      <c r="D28" s="22" t="s">
        <v>616</v>
      </c>
      <c r="E28" s="91" t="str">
        <f>HYPERLINK("https://www.city.kazo.lg.jp/kurashi/kotsubouhan/akiya/11114.html", "Link to " &amp; "Saitama Prefrecture : " &amp; $B28 &amp;" City")</f>
        <v>Link to Saitama Prefrecture : Kazo City</v>
      </c>
      <c r="F28" s="22"/>
      <c r="G28" s="23"/>
      <c r="H28" s="23"/>
      <c r="I28" s="23"/>
      <c r="J28" s="22"/>
      <c r="K28" s="22"/>
      <c r="L28" s="22"/>
      <c r="M28" s="23"/>
      <c r="N28" s="24"/>
      <c r="O28" s="24"/>
      <c r="P28" s="24"/>
      <c r="Q28" s="24"/>
      <c r="R28" s="25"/>
      <c r="S28" s="25"/>
      <c r="T28" s="25"/>
      <c r="U28" s="25"/>
      <c r="V28" s="25"/>
      <c r="W28" s="25"/>
      <c r="X28" s="25"/>
      <c r="Y28" s="25"/>
    </row>
    <row r="29">
      <c r="A29" s="22">
        <f t="shared" si="1"/>
        <v>25</v>
      </c>
      <c r="B29" s="99" t="s">
        <v>650</v>
      </c>
      <c r="C29" s="22" t="s">
        <v>375</v>
      </c>
      <c r="D29" s="22" t="s">
        <v>651</v>
      </c>
      <c r="E29" s="91" t="str">
        <f>HYPERLINK("https://www.city.kitamoto.lg.jp/soshiki/toshiseibi/toshikeikakuseisaku/gyomu/akiyataisaku/akiyabank/tourokubukkenn/1554078909645.html", "Link to " &amp; "Saitama Prefrecture : " &amp; $B29 &amp;" City")</f>
        <v>Link to Saitama Prefrecture : Kitamoto City</v>
      </c>
      <c r="F29" s="22"/>
      <c r="G29" s="23"/>
      <c r="H29" s="23"/>
      <c r="I29" s="23"/>
      <c r="J29" s="22"/>
      <c r="K29" s="22"/>
      <c r="L29" s="22"/>
      <c r="M29" s="23"/>
      <c r="N29" s="24"/>
      <c r="O29" s="24"/>
      <c r="P29" s="24"/>
      <c r="Q29" s="24"/>
      <c r="R29" s="25"/>
      <c r="S29" s="25"/>
      <c r="T29" s="25"/>
      <c r="U29" s="25"/>
      <c r="V29" s="25"/>
      <c r="W29" s="25"/>
      <c r="X29" s="25"/>
      <c r="Y29" s="25"/>
    </row>
    <row r="30">
      <c r="A30" s="34">
        <f t="shared" si="1"/>
        <v>26</v>
      </c>
      <c r="B30" s="100" t="s">
        <v>652</v>
      </c>
      <c r="C30" s="34" t="s">
        <v>375</v>
      </c>
      <c r="D30" s="34" t="s">
        <v>130</v>
      </c>
      <c r="E30" s="89" t="str">
        <f>HYPERLINK("https://akiya-koshigaya.jp/category/sale/", "Link to " &amp; "Saitama Prefrecture : " &amp; $B30 &amp;" City")</f>
        <v>Link to Saitama Prefrecture : Koshigaya City</v>
      </c>
      <c r="F30" s="36"/>
      <c r="G30" s="36"/>
      <c r="H30" s="36"/>
      <c r="I30" s="36"/>
      <c r="J30" s="34"/>
      <c r="K30" s="34"/>
      <c r="L30" s="34"/>
      <c r="M30" s="36"/>
      <c r="N30" s="37"/>
      <c r="O30" s="37"/>
      <c r="P30" s="37"/>
      <c r="Q30" s="37"/>
      <c r="R30" s="38"/>
      <c r="S30" s="38"/>
      <c r="T30" s="38"/>
      <c r="U30" s="38"/>
      <c r="V30" s="38"/>
      <c r="W30" s="38"/>
      <c r="X30" s="38"/>
      <c r="Y30" s="38"/>
    </row>
    <row r="31">
      <c r="A31" s="34">
        <f t="shared" si="1"/>
        <v>27</v>
      </c>
      <c r="B31" s="80" t="s">
        <v>653</v>
      </c>
      <c r="C31" s="34" t="s">
        <v>463</v>
      </c>
      <c r="D31" s="34"/>
      <c r="E31" s="37"/>
      <c r="F31" s="34"/>
      <c r="G31" s="36"/>
      <c r="H31" s="36"/>
      <c r="I31" s="36"/>
      <c r="J31" s="34"/>
      <c r="K31" s="34"/>
      <c r="L31" s="34"/>
      <c r="M31" s="36"/>
      <c r="N31" s="36"/>
      <c r="O31" s="37"/>
      <c r="P31" s="37"/>
      <c r="Q31" s="37"/>
      <c r="R31" s="38"/>
      <c r="S31" s="38"/>
      <c r="T31" s="38"/>
      <c r="U31" s="38"/>
      <c r="V31" s="38"/>
      <c r="W31" s="38"/>
      <c r="X31" s="38"/>
      <c r="Y31" s="38"/>
    </row>
    <row r="32">
      <c r="A32" s="22">
        <f t="shared" si="1"/>
        <v>28</v>
      </c>
      <c r="B32" s="87" t="s">
        <v>654</v>
      </c>
      <c r="C32" s="22" t="s">
        <v>375</v>
      </c>
      <c r="D32" s="22" t="s">
        <v>621</v>
      </c>
      <c r="E32" s="91" t="str">
        <f>HYPERLINK("https://akiyabank.saihoku-ijuu.com/?property_type=&amp;contract_type=&amp;cat_property=kumagaya&amp;status=&amp;range_sale=&amp;range_lease=&amp;s_value=&amp;s=*&amp;post_type=property", "Link to " &amp; "Saitama Prefrecture : " &amp; $B32 &amp;" City")</f>
        <v>Link to Saitama Prefrecture : Kumagaya City</v>
      </c>
      <c r="F32" s="22"/>
      <c r="G32" s="23"/>
      <c r="H32" s="23"/>
      <c r="I32" s="23"/>
      <c r="J32" s="22"/>
      <c r="K32" s="22"/>
      <c r="L32" s="22"/>
      <c r="M32" s="23"/>
      <c r="N32" s="23"/>
      <c r="O32" s="24"/>
      <c r="P32" s="24"/>
      <c r="Q32" s="24"/>
      <c r="R32" s="25"/>
      <c r="S32" s="25"/>
      <c r="T32" s="25"/>
      <c r="U32" s="25"/>
      <c r="V32" s="25"/>
      <c r="W32" s="25"/>
      <c r="X32" s="25"/>
      <c r="Y32" s="25"/>
    </row>
    <row r="33">
      <c r="A33" s="22">
        <f t="shared" si="1"/>
        <v>29</v>
      </c>
      <c r="B33" s="87" t="s">
        <v>655</v>
      </c>
      <c r="C33" s="22" t="s">
        <v>375</v>
      </c>
      <c r="D33" s="88" t="s">
        <v>651</v>
      </c>
      <c r="E33" s="91" t="str">
        <f>HYPERLINK("https://www.city.kounosu.saitama.jp/kurashi/1/2/1579651709369.html", "Link to " &amp; "Saitama Prefrecture : " &amp; $B33 &amp;" City")</f>
        <v>Link to Saitama Prefrecture : Kōnosu City</v>
      </c>
      <c r="F33" s="23"/>
      <c r="G33" s="23"/>
      <c r="H33" s="23"/>
      <c r="I33" s="23"/>
      <c r="J33" s="22"/>
      <c r="K33" s="22"/>
      <c r="L33" s="22"/>
      <c r="M33" s="23"/>
      <c r="N33" s="23"/>
      <c r="O33" s="24"/>
      <c r="P33" s="24"/>
      <c r="Q33" s="24"/>
      <c r="R33" s="25"/>
      <c r="S33" s="25"/>
      <c r="T33" s="25"/>
      <c r="U33" s="25"/>
      <c r="V33" s="25"/>
      <c r="W33" s="25"/>
      <c r="X33" s="25"/>
      <c r="Y33" s="25"/>
    </row>
    <row r="34">
      <c r="A34" s="34">
        <f t="shared" si="1"/>
        <v>30</v>
      </c>
      <c r="B34" s="80" t="s">
        <v>656</v>
      </c>
      <c r="C34" s="34" t="s">
        <v>463</v>
      </c>
      <c r="D34" s="34"/>
      <c r="E34" s="37"/>
      <c r="F34" s="36"/>
      <c r="G34" s="36"/>
      <c r="H34" s="36"/>
      <c r="I34" s="36"/>
      <c r="J34" s="34"/>
      <c r="K34" s="34"/>
      <c r="L34" s="34"/>
      <c r="M34" s="36"/>
      <c r="N34" s="36"/>
      <c r="O34" s="37"/>
      <c r="P34" s="37"/>
      <c r="Q34" s="37"/>
      <c r="R34" s="38"/>
      <c r="S34" s="38"/>
      <c r="T34" s="38"/>
      <c r="U34" s="38"/>
      <c r="V34" s="38"/>
      <c r="W34" s="38"/>
      <c r="X34" s="38"/>
      <c r="Y34" s="38"/>
    </row>
    <row r="35">
      <c r="A35" s="22">
        <f t="shared" si="1"/>
        <v>31</v>
      </c>
      <c r="B35" s="87" t="s">
        <v>657</v>
      </c>
      <c r="C35" s="22" t="s">
        <v>375</v>
      </c>
      <c r="D35" s="88" t="s">
        <v>651</v>
      </c>
      <c r="E35" s="91" t="str">
        <f>HYPERLINK("Minano", "Link to " &amp; "Saitama Prefrecture : " &amp; $B35 &amp;" City")</f>
        <v>Link to Saitama Prefrecture : Minano City</v>
      </c>
      <c r="F35" s="23"/>
      <c r="G35" s="23"/>
      <c r="H35" s="23"/>
      <c r="I35" s="23"/>
      <c r="J35" s="22"/>
      <c r="K35" s="22"/>
      <c r="L35" s="22"/>
      <c r="M35" s="23"/>
      <c r="N35" s="23"/>
      <c r="O35" s="24"/>
      <c r="P35" s="24"/>
      <c r="Q35" s="24"/>
      <c r="R35" s="25"/>
      <c r="S35" s="25"/>
      <c r="T35" s="25"/>
      <c r="U35" s="25"/>
      <c r="V35" s="25"/>
      <c r="W35" s="25"/>
      <c r="X35" s="25"/>
      <c r="Y35" s="25"/>
    </row>
    <row r="36">
      <c r="A36" s="34">
        <f t="shared" si="1"/>
        <v>32</v>
      </c>
      <c r="B36" s="80" t="s">
        <v>474</v>
      </c>
      <c r="C36" s="34" t="s">
        <v>463</v>
      </c>
      <c r="D36" s="34"/>
      <c r="E36" s="37"/>
      <c r="F36" s="36"/>
      <c r="G36" s="36"/>
      <c r="H36" s="36"/>
      <c r="I36" s="36"/>
      <c r="J36" s="34"/>
      <c r="K36" s="34"/>
      <c r="L36" s="34"/>
      <c r="M36" s="36"/>
      <c r="N36" s="36"/>
      <c r="O36" s="37"/>
      <c r="P36" s="37"/>
      <c r="Q36" s="37"/>
      <c r="R36" s="38"/>
      <c r="S36" s="38"/>
      <c r="T36" s="38"/>
      <c r="U36" s="38"/>
      <c r="V36" s="38"/>
      <c r="W36" s="38"/>
      <c r="X36" s="38"/>
      <c r="Y36" s="38"/>
    </row>
    <row r="37">
      <c r="A37" s="34">
        <f t="shared" si="1"/>
        <v>33</v>
      </c>
      <c r="B37" s="80" t="s">
        <v>658</v>
      </c>
      <c r="C37" s="34" t="s">
        <v>463</v>
      </c>
      <c r="D37" s="34"/>
      <c r="E37" s="37"/>
      <c r="F37" s="36"/>
      <c r="G37" s="36"/>
      <c r="H37" s="36"/>
      <c r="I37" s="36"/>
      <c r="J37" s="34"/>
      <c r="K37" s="34"/>
      <c r="L37" s="34"/>
      <c r="M37" s="36"/>
      <c r="N37" s="36"/>
      <c r="O37" s="37"/>
      <c r="P37" s="37"/>
      <c r="Q37" s="37"/>
      <c r="R37" s="38"/>
      <c r="S37" s="38"/>
      <c r="T37" s="38"/>
      <c r="U37" s="38"/>
      <c r="V37" s="38"/>
      <c r="W37" s="38"/>
      <c r="X37" s="38"/>
      <c r="Y37" s="38"/>
    </row>
    <row r="38">
      <c r="A38" s="34">
        <f t="shared" si="1"/>
        <v>34</v>
      </c>
      <c r="B38" s="80" t="s">
        <v>184</v>
      </c>
      <c r="C38" s="34" t="s">
        <v>463</v>
      </c>
      <c r="D38" s="34"/>
      <c r="E38" s="37"/>
      <c r="F38" s="36"/>
      <c r="G38" s="36"/>
      <c r="H38" s="36"/>
      <c r="I38" s="36"/>
      <c r="J38" s="34"/>
      <c r="K38" s="34"/>
      <c r="L38" s="34"/>
      <c r="M38" s="36"/>
      <c r="N38" s="36"/>
      <c r="O38" s="37"/>
      <c r="P38" s="37"/>
      <c r="Q38" s="37"/>
      <c r="R38" s="38"/>
      <c r="S38" s="38"/>
      <c r="T38" s="38"/>
      <c r="U38" s="38"/>
      <c r="V38" s="38"/>
      <c r="W38" s="38"/>
      <c r="X38" s="38"/>
      <c r="Y38" s="38"/>
    </row>
    <row r="39">
      <c r="A39" s="22">
        <f t="shared" si="1"/>
        <v>35</v>
      </c>
      <c r="B39" s="87" t="s">
        <v>659</v>
      </c>
      <c r="C39" s="22" t="s">
        <v>375</v>
      </c>
      <c r="D39" s="22" t="s">
        <v>651</v>
      </c>
      <c r="E39" s="91" t="str">
        <f>HYPERLINK("https://www.town.moroyama.saitama.jp/www/choudo-e-moroyama/genre/1519094667223/index.html", "Link to " &amp; "Saitama Prefrecture : " &amp; $B39 &amp;" City")</f>
        <v>Link to Saitama Prefrecture : Moroyama City</v>
      </c>
      <c r="F39" s="23"/>
      <c r="G39" s="23"/>
      <c r="H39" s="23"/>
      <c r="I39" s="23"/>
      <c r="J39" s="22"/>
      <c r="K39" s="22"/>
      <c r="L39" s="22"/>
      <c r="M39" s="23"/>
      <c r="N39" s="23"/>
      <c r="O39" s="24"/>
      <c r="P39" s="24"/>
      <c r="Q39" s="24"/>
      <c r="R39" s="25"/>
      <c r="S39" s="25"/>
      <c r="T39" s="25"/>
      <c r="U39" s="25"/>
      <c r="V39" s="25"/>
      <c r="W39" s="25"/>
      <c r="X39" s="25"/>
      <c r="Y39" s="25"/>
    </row>
    <row r="40">
      <c r="A40" s="22">
        <f t="shared" si="1"/>
        <v>36</v>
      </c>
      <c r="B40" s="87" t="s">
        <v>660</v>
      </c>
      <c r="C40" s="22" t="s">
        <v>375</v>
      </c>
      <c r="D40" s="22" t="s">
        <v>661</v>
      </c>
      <c r="E40" s="91" t="str">
        <f>HYPERLINK("https://chichibuakiyabank.com/search-results?trade=sell&amp;area=nagatoro&amp;property=&amp;price=", "Link to " &amp; "Saitama Prefrecture : " &amp; $B40 &amp;" City")</f>
        <v>Link to Saitama Prefrecture : Nagatoro City</v>
      </c>
      <c r="F40" s="23"/>
      <c r="G40" s="23"/>
      <c r="H40" s="23"/>
      <c r="I40" s="23"/>
      <c r="J40" s="22"/>
      <c r="K40" s="22"/>
      <c r="L40" s="22"/>
      <c r="M40" s="23"/>
      <c r="N40" s="23"/>
      <c r="O40" s="24"/>
      <c r="P40" s="24"/>
      <c r="Q40" s="24"/>
      <c r="R40" s="25"/>
      <c r="S40" s="25"/>
      <c r="T40" s="25"/>
      <c r="U40" s="25"/>
      <c r="V40" s="25"/>
      <c r="W40" s="25"/>
      <c r="X40" s="25"/>
      <c r="Y40" s="25"/>
    </row>
    <row r="41">
      <c r="A41" s="34">
        <f t="shared" si="1"/>
        <v>37</v>
      </c>
      <c r="B41" s="80" t="s">
        <v>662</v>
      </c>
      <c r="C41" s="34" t="s">
        <v>463</v>
      </c>
      <c r="D41" s="34"/>
      <c r="E41" s="89" t="str">
        <f>HYPERLINK("https://akiya-koshigaya.jp/category/sale/", "Link to " &amp; "Saitama Prefrecture : " &amp; $B41 &amp;" City")</f>
        <v>Link to Saitama Prefrecture : Namegawa City</v>
      </c>
      <c r="F41" s="36"/>
      <c r="G41" s="36"/>
      <c r="H41" s="36"/>
      <c r="I41" s="36"/>
      <c r="J41" s="34"/>
      <c r="K41" s="34"/>
      <c r="L41" s="34"/>
      <c r="M41" s="36"/>
      <c r="N41" s="36"/>
      <c r="O41" s="38"/>
      <c r="P41" s="38"/>
      <c r="Q41" s="38"/>
      <c r="R41" s="38"/>
      <c r="S41" s="38"/>
      <c r="T41" s="38"/>
      <c r="U41" s="38"/>
      <c r="V41" s="38"/>
      <c r="W41" s="38"/>
      <c r="X41" s="38"/>
      <c r="Y41" s="38"/>
    </row>
    <row r="42">
      <c r="A42" s="22">
        <f t="shared" si="1"/>
        <v>38</v>
      </c>
      <c r="B42" s="87" t="s">
        <v>663</v>
      </c>
      <c r="C42" s="22" t="s">
        <v>375</v>
      </c>
      <c r="D42" s="22" t="s">
        <v>160</v>
      </c>
      <c r="E42" s="91" t="str">
        <f>HYPERLINK("https://www.city.niiza.lg.jp/soshiki/18/niizashiakiyabanku.html", "Link to " &amp; "Saitama Prefrecture : " &amp; $B42 &amp;" City")</f>
        <v>Link to Saitama Prefrecture : Niiza City</v>
      </c>
      <c r="F42" s="23"/>
      <c r="G42" s="23"/>
      <c r="H42" s="23"/>
      <c r="I42" s="23"/>
      <c r="J42" s="22"/>
      <c r="K42" s="22"/>
      <c r="L42" s="22"/>
      <c r="M42" s="23"/>
      <c r="N42" s="23"/>
      <c r="O42" s="25"/>
      <c r="P42" s="25"/>
      <c r="Q42" s="25"/>
      <c r="R42" s="25"/>
      <c r="S42" s="25"/>
      <c r="T42" s="25"/>
      <c r="U42" s="25"/>
      <c r="V42" s="25"/>
      <c r="W42" s="25"/>
      <c r="X42" s="25"/>
      <c r="Y42" s="25"/>
    </row>
    <row r="43">
      <c r="A43" s="22">
        <f t="shared" si="1"/>
        <v>39</v>
      </c>
      <c r="B43" s="87" t="s">
        <v>664</v>
      </c>
      <c r="C43" s="22" t="s">
        <v>375</v>
      </c>
      <c r="D43" s="22" t="s">
        <v>661</v>
      </c>
      <c r="E43" s="91" t="str">
        <f>HYPERLINK("https://chichibuakiyabank.com/search-results?trade=sell&amp;area=ogano&amp;property=&amp;price=", "Link to " &amp; "Saitama Prefrecture : " &amp; $B43 &amp;" City")</f>
        <v>Link to Saitama Prefrecture : Ogano City</v>
      </c>
      <c r="F43" s="23"/>
      <c r="G43" s="23"/>
      <c r="H43" s="23"/>
      <c r="I43" s="23"/>
      <c r="J43" s="22"/>
      <c r="K43" s="22"/>
      <c r="L43" s="22"/>
      <c r="M43" s="23"/>
      <c r="N43" s="23"/>
      <c r="O43" s="25"/>
      <c r="P43" s="25"/>
      <c r="Q43" s="25"/>
      <c r="R43" s="25"/>
      <c r="S43" s="25"/>
      <c r="T43" s="25"/>
      <c r="U43" s="25"/>
      <c r="V43" s="25"/>
      <c r="W43" s="25"/>
      <c r="X43" s="25"/>
      <c r="Y43" s="25"/>
    </row>
    <row r="44">
      <c r="A44" s="29">
        <f t="shared" si="1"/>
        <v>40</v>
      </c>
      <c r="B44" s="81" t="s">
        <v>385</v>
      </c>
      <c r="C44" s="29" t="s">
        <v>646</v>
      </c>
      <c r="D44" s="29" t="s">
        <v>162</v>
      </c>
      <c r="E44" s="90" t="str">
        <f>HYPERLINK("Ogawa", "Link to " &amp; "Saitama Prefrecture : " &amp; $B44 &amp;" City")</f>
        <v>Link to Saitama Prefrecture : Ogawa City</v>
      </c>
      <c r="F44" s="31"/>
      <c r="G44" s="31"/>
      <c r="H44" s="31"/>
      <c r="I44" s="31"/>
      <c r="J44" s="29"/>
      <c r="K44" s="29"/>
      <c r="L44" s="29"/>
      <c r="M44" s="31"/>
      <c r="N44" s="31"/>
      <c r="O44" s="33"/>
      <c r="P44" s="33"/>
      <c r="Q44" s="33"/>
      <c r="R44" s="33"/>
      <c r="S44" s="33"/>
      <c r="T44" s="33"/>
      <c r="U44" s="33"/>
      <c r="V44" s="33"/>
      <c r="W44" s="33"/>
      <c r="X44" s="33"/>
      <c r="Y44" s="33"/>
    </row>
    <row r="45">
      <c r="A45" s="34">
        <f t="shared" si="1"/>
        <v>41</v>
      </c>
      <c r="B45" s="80" t="s">
        <v>665</v>
      </c>
      <c r="C45" s="34" t="s">
        <v>646</v>
      </c>
      <c r="D45" s="34" t="s">
        <v>130</v>
      </c>
      <c r="E45" s="89" t="str">
        <f>HYPERLINK("https://www.town.ogose.saitama.jp/ogoseikatsu/kurasu/akiyabanku/1450770585203.html", "Link to " &amp; "Saitama Prefrecture : " &amp; $B45 &amp;" City")</f>
        <v>Link to Saitama Prefrecture : Ogose City</v>
      </c>
      <c r="F45" s="36"/>
      <c r="G45" s="36"/>
      <c r="H45" s="36"/>
      <c r="I45" s="36"/>
      <c r="J45" s="34"/>
      <c r="K45" s="34"/>
      <c r="L45" s="34"/>
      <c r="M45" s="36"/>
      <c r="N45" s="36"/>
      <c r="O45" s="38"/>
      <c r="P45" s="38"/>
      <c r="Q45" s="38"/>
      <c r="R45" s="38"/>
      <c r="S45" s="38"/>
      <c r="T45" s="38"/>
      <c r="U45" s="38"/>
      <c r="V45" s="38"/>
      <c r="W45" s="38"/>
      <c r="X45" s="38"/>
      <c r="Y45" s="38"/>
    </row>
    <row r="46">
      <c r="A46" s="22">
        <f t="shared" si="1"/>
        <v>42</v>
      </c>
      <c r="B46" s="87" t="s">
        <v>666</v>
      </c>
      <c r="C46" s="22" t="s">
        <v>375</v>
      </c>
      <c r="D46" s="22" t="s">
        <v>510</v>
      </c>
      <c r="E46" s="91" t="str">
        <f>HYPERLINK("https://www.city.okegawa.lg.jp/soshiki/shiminseikatsu/anshinanzen/akiyataisaku/akiyabannku/okegawsitourokubukkennitiran/6156.html", "Link to " &amp; "Saitama Prefrecture : " &amp; $B46 &amp;" City")</f>
        <v>Link to Saitama Prefrecture : Okegawa City</v>
      </c>
      <c r="F46" s="23"/>
      <c r="G46" s="23"/>
      <c r="H46" s="23"/>
      <c r="I46" s="23"/>
      <c r="J46" s="22"/>
      <c r="K46" s="22"/>
      <c r="L46" s="22"/>
      <c r="M46" s="23"/>
      <c r="N46" s="23"/>
      <c r="O46" s="25"/>
      <c r="P46" s="25"/>
      <c r="Q46" s="25"/>
      <c r="R46" s="25"/>
      <c r="S46" s="25"/>
      <c r="T46" s="25"/>
      <c r="U46" s="25"/>
      <c r="V46" s="25"/>
      <c r="W46" s="25"/>
      <c r="X46" s="25"/>
      <c r="Y46" s="25"/>
    </row>
    <row r="47">
      <c r="A47" s="22">
        <f t="shared" si="1"/>
        <v>43</v>
      </c>
      <c r="B47" s="87" t="s">
        <v>667</v>
      </c>
      <c r="C47" s="22" t="s">
        <v>375</v>
      </c>
      <c r="D47" s="22" t="s">
        <v>160</v>
      </c>
      <c r="E47" s="91" t="str">
        <f>HYPERLINK("https://www.town.ranzan.saitama.jp/0000003956.html", "Link to " &amp; "Saitama Prefrecture : " &amp; $B47 &amp;" City")</f>
        <v>Link to Saitama Prefrecture : Ranzan City</v>
      </c>
      <c r="F47" s="23"/>
      <c r="G47" s="23"/>
      <c r="H47" s="23"/>
      <c r="I47" s="23"/>
      <c r="J47" s="22"/>
      <c r="K47" s="22"/>
      <c r="L47" s="22"/>
      <c r="M47" s="23"/>
      <c r="N47" s="23"/>
      <c r="O47" s="25"/>
      <c r="P47" s="25"/>
      <c r="Q47" s="25"/>
      <c r="R47" s="25"/>
      <c r="S47" s="25"/>
      <c r="T47" s="25"/>
      <c r="U47" s="25"/>
      <c r="V47" s="25"/>
      <c r="W47" s="25"/>
      <c r="X47" s="25"/>
      <c r="Y47" s="25"/>
    </row>
    <row r="48">
      <c r="A48" s="34">
        <f t="shared" si="1"/>
        <v>44</v>
      </c>
      <c r="B48" s="80" t="s">
        <v>668</v>
      </c>
      <c r="C48" s="34" t="s">
        <v>463</v>
      </c>
      <c r="D48" s="34"/>
      <c r="E48" s="37"/>
      <c r="F48" s="36"/>
      <c r="G48" s="36"/>
      <c r="H48" s="36"/>
      <c r="I48" s="36"/>
      <c r="J48" s="34"/>
      <c r="K48" s="34"/>
      <c r="L48" s="34"/>
      <c r="M48" s="36"/>
      <c r="N48" s="36"/>
      <c r="O48" s="38"/>
      <c r="P48" s="38"/>
      <c r="Q48" s="38"/>
      <c r="R48" s="38"/>
      <c r="S48" s="38"/>
      <c r="T48" s="38"/>
      <c r="U48" s="38"/>
      <c r="V48" s="38"/>
      <c r="W48" s="38"/>
      <c r="X48" s="38"/>
      <c r="Y48" s="38"/>
    </row>
    <row r="49">
      <c r="A49" s="34">
        <f t="shared" si="1"/>
        <v>45</v>
      </c>
      <c r="B49" s="80" t="s">
        <v>669</v>
      </c>
      <c r="C49" s="34" t="s">
        <v>375</v>
      </c>
      <c r="D49" s="34" t="s">
        <v>130</v>
      </c>
      <c r="E49" s="89" t="str">
        <f>HYPERLINK("https://www.city.sakado.lg.jp/soshiki/37/1359.html", "Link to " &amp; "Saitama Prefrecture : " &amp; $B49 &amp;" City")</f>
        <v>Link to Saitama Prefrecture : Sakado City</v>
      </c>
      <c r="F49" s="36"/>
      <c r="G49" s="36"/>
      <c r="H49" s="36"/>
      <c r="I49" s="36"/>
      <c r="J49" s="34"/>
      <c r="K49" s="34"/>
      <c r="L49" s="34"/>
      <c r="M49" s="36"/>
      <c r="N49" s="36"/>
      <c r="O49" s="38"/>
      <c r="P49" s="38"/>
      <c r="Q49" s="38"/>
      <c r="R49" s="38"/>
      <c r="S49" s="38"/>
      <c r="T49" s="38"/>
      <c r="U49" s="38"/>
      <c r="V49" s="38"/>
      <c r="W49" s="38"/>
      <c r="X49" s="38"/>
      <c r="Y49" s="38"/>
    </row>
    <row r="50">
      <c r="A50" s="22">
        <f t="shared" si="1"/>
        <v>46</v>
      </c>
      <c r="B50" s="87" t="s">
        <v>670</v>
      </c>
      <c r="C50" s="22" t="s">
        <v>375</v>
      </c>
      <c r="D50" s="22" t="s">
        <v>160</v>
      </c>
      <c r="E50" s="91" t="str">
        <f>HYPERLINK("https://www.city.satte.lg.jp/sitetop/soshiki/shiminkyoudou/2_3/6162.html", "Link to " &amp; "Saitama Prefrecture : " &amp; $B50 &amp;" City")</f>
        <v>Link to Saitama Prefrecture : Satte City</v>
      </c>
      <c r="F50" s="23"/>
      <c r="G50" s="23"/>
      <c r="H50" s="23"/>
      <c r="I50" s="23"/>
      <c r="J50" s="22"/>
      <c r="K50" s="22"/>
      <c r="L50" s="22"/>
      <c r="M50" s="23"/>
      <c r="N50" s="23"/>
      <c r="O50" s="25"/>
      <c r="P50" s="25"/>
      <c r="Q50" s="25"/>
      <c r="R50" s="25"/>
      <c r="S50" s="25"/>
      <c r="T50" s="25"/>
      <c r="U50" s="25"/>
      <c r="V50" s="25"/>
      <c r="W50" s="25"/>
      <c r="X50" s="25"/>
      <c r="Y50" s="25"/>
    </row>
    <row r="51">
      <c r="A51" s="34">
        <f t="shared" si="1"/>
        <v>47</v>
      </c>
      <c r="B51" s="80" t="s">
        <v>671</v>
      </c>
      <c r="C51" s="34" t="s">
        <v>463</v>
      </c>
      <c r="D51" s="34"/>
      <c r="E51" s="37"/>
      <c r="F51" s="36"/>
      <c r="G51" s="36"/>
      <c r="H51" s="36"/>
      <c r="I51" s="36"/>
      <c r="J51" s="34"/>
      <c r="K51" s="34"/>
      <c r="L51" s="34"/>
      <c r="M51" s="36"/>
      <c r="N51" s="36"/>
      <c r="O51" s="38"/>
      <c r="P51" s="38"/>
      <c r="Q51" s="38"/>
      <c r="R51" s="38"/>
      <c r="S51" s="38"/>
      <c r="T51" s="38"/>
      <c r="U51" s="38"/>
      <c r="V51" s="38"/>
      <c r="W51" s="38"/>
      <c r="X51" s="38"/>
      <c r="Y51" s="38"/>
    </row>
    <row r="52">
      <c r="A52" s="29">
        <f t="shared" si="1"/>
        <v>48</v>
      </c>
      <c r="B52" s="81" t="s">
        <v>672</v>
      </c>
      <c r="C52" s="29" t="s">
        <v>375</v>
      </c>
      <c r="D52" s="29" t="s">
        <v>607</v>
      </c>
      <c r="E52" s="90" t="str">
        <f>HYPERLINK("https://www.city.shiki.lg.jp/soshiki/16/1193.html", "Link to " &amp; "Saitama Prefrecture : " &amp; $B52 &amp;" City")</f>
        <v>Link to Saitama Prefrecture : Shiki City</v>
      </c>
      <c r="F52" s="31"/>
      <c r="G52" s="31"/>
      <c r="H52" s="31"/>
      <c r="I52" s="31"/>
      <c r="J52" s="29"/>
      <c r="K52" s="29"/>
      <c r="L52" s="29"/>
      <c r="M52" s="31"/>
      <c r="N52" s="31"/>
      <c r="O52" s="33"/>
      <c r="P52" s="33"/>
      <c r="Q52" s="33"/>
      <c r="R52" s="33"/>
      <c r="S52" s="33"/>
      <c r="T52" s="33"/>
      <c r="U52" s="33"/>
      <c r="V52" s="33"/>
      <c r="W52" s="33"/>
      <c r="X52" s="33"/>
      <c r="Y52" s="33"/>
    </row>
    <row r="53">
      <c r="A53" s="22">
        <f t="shared" si="1"/>
        <v>49</v>
      </c>
      <c r="B53" s="87" t="s">
        <v>673</v>
      </c>
      <c r="C53" s="22" t="s">
        <v>375</v>
      </c>
      <c r="D53" s="22" t="s">
        <v>160</v>
      </c>
      <c r="E53" s="91" t="str">
        <f>HYPERLINK("https://www.city.shiraoka.lg.jp/12013.htm", "Link to " &amp; "Saitama Prefrecture : " &amp; $B53 &amp;" City")</f>
        <v>Link to Saitama Prefrecture : Shiraoka City</v>
      </c>
      <c r="F53" s="23"/>
      <c r="G53" s="23"/>
      <c r="H53" s="23"/>
      <c r="I53" s="23"/>
      <c r="J53" s="22"/>
      <c r="K53" s="22"/>
      <c r="L53" s="22"/>
      <c r="M53" s="23"/>
      <c r="N53" s="23"/>
      <c r="O53" s="25"/>
      <c r="P53" s="25"/>
      <c r="Q53" s="25"/>
      <c r="R53" s="25"/>
      <c r="S53" s="25"/>
      <c r="T53" s="25"/>
      <c r="U53" s="25"/>
      <c r="V53" s="25"/>
      <c r="W53" s="25"/>
      <c r="X53" s="25"/>
      <c r="Y53" s="25"/>
    </row>
    <row r="54">
      <c r="A54" s="34">
        <f t="shared" si="1"/>
        <v>50</v>
      </c>
      <c r="B54" s="80" t="s">
        <v>674</v>
      </c>
      <c r="C54" s="34" t="s">
        <v>463</v>
      </c>
      <c r="D54" s="34"/>
      <c r="E54" s="37"/>
      <c r="F54" s="36"/>
      <c r="G54" s="36"/>
      <c r="H54" s="36"/>
      <c r="I54" s="36"/>
      <c r="J54" s="34"/>
      <c r="K54" s="34"/>
      <c r="L54" s="34"/>
      <c r="M54" s="36"/>
      <c r="N54" s="36"/>
      <c r="O54" s="38"/>
      <c r="P54" s="38"/>
      <c r="Q54" s="38"/>
      <c r="R54" s="38"/>
      <c r="S54" s="38"/>
      <c r="T54" s="38"/>
      <c r="U54" s="38"/>
      <c r="V54" s="38"/>
      <c r="W54" s="38"/>
      <c r="X54" s="38"/>
      <c r="Y54" s="38"/>
    </row>
    <row r="55">
      <c r="A55" s="34">
        <f t="shared" si="1"/>
        <v>51</v>
      </c>
      <c r="B55" s="80" t="s">
        <v>675</v>
      </c>
      <c r="C55" s="34" t="s">
        <v>463</v>
      </c>
      <c r="D55" s="34"/>
      <c r="E55" s="37"/>
      <c r="F55" s="36"/>
      <c r="G55" s="36"/>
      <c r="H55" s="36"/>
      <c r="I55" s="36"/>
      <c r="J55" s="34"/>
      <c r="K55" s="34"/>
      <c r="L55" s="34"/>
      <c r="M55" s="36"/>
      <c r="N55" s="36"/>
      <c r="O55" s="38"/>
      <c r="P55" s="38"/>
      <c r="Q55" s="38"/>
      <c r="R55" s="38"/>
      <c r="S55" s="38"/>
      <c r="T55" s="38"/>
      <c r="U55" s="38"/>
      <c r="V55" s="38"/>
      <c r="W55" s="38"/>
      <c r="X55" s="38"/>
      <c r="Y55" s="38"/>
    </row>
    <row r="56">
      <c r="A56" s="22">
        <f t="shared" si="1"/>
        <v>52</v>
      </c>
      <c r="B56" s="87" t="s">
        <v>676</v>
      </c>
      <c r="C56" s="22" t="s">
        <v>375</v>
      </c>
      <c r="D56" s="22" t="s">
        <v>510</v>
      </c>
      <c r="E56" s="91" t="str">
        <f>HYPERLINK("https://toda-akiya.jp/category/property/", "Link to " &amp; "Saitama Prefrecture : " &amp; $B56 &amp;" City")</f>
        <v>Link to Saitama Prefrecture : Toda City</v>
      </c>
      <c r="F56" s="23"/>
      <c r="G56" s="23"/>
      <c r="H56" s="23"/>
      <c r="I56" s="23"/>
      <c r="J56" s="22"/>
      <c r="K56" s="22"/>
      <c r="L56" s="22"/>
      <c r="M56" s="23"/>
      <c r="N56" s="23"/>
      <c r="O56" s="25"/>
      <c r="P56" s="25"/>
      <c r="Q56" s="25"/>
      <c r="R56" s="25"/>
      <c r="S56" s="25"/>
      <c r="T56" s="25"/>
      <c r="U56" s="25"/>
      <c r="V56" s="25"/>
      <c r="W56" s="25"/>
      <c r="X56" s="25"/>
      <c r="Y56" s="25"/>
    </row>
    <row r="57">
      <c r="A57" s="34">
        <f t="shared" si="1"/>
        <v>53</v>
      </c>
      <c r="B57" s="80" t="s">
        <v>677</v>
      </c>
      <c r="C57" s="34" t="s">
        <v>375</v>
      </c>
      <c r="D57" s="34" t="s">
        <v>130</v>
      </c>
      <c r="E57" s="89" t="str">
        <f>HYPERLINK("https://www.town.tokigawa.lg.jp/Info/1012", "Link to " &amp; "Saitama Prefrecture : " &amp; $B57 &amp;" City")</f>
        <v>Link to Saitama Prefrecture : Tokigawa City</v>
      </c>
      <c r="F57" s="36"/>
      <c r="G57" s="36"/>
      <c r="H57" s="36"/>
      <c r="I57" s="36"/>
      <c r="J57" s="34"/>
      <c r="K57" s="34"/>
      <c r="L57" s="34"/>
      <c r="M57" s="36"/>
      <c r="N57" s="36"/>
      <c r="O57" s="38"/>
      <c r="P57" s="38"/>
      <c r="Q57" s="38"/>
      <c r="R57" s="38"/>
      <c r="S57" s="38"/>
      <c r="T57" s="38"/>
      <c r="U57" s="38"/>
      <c r="V57" s="38"/>
      <c r="W57" s="38"/>
      <c r="X57" s="38"/>
      <c r="Y57" s="38"/>
    </row>
    <row r="58">
      <c r="A58" s="34">
        <f t="shared" si="1"/>
        <v>54</v>
      </c>
      <c r="B58" s="80" t="s">
        <v>678</v>
      </c>
      <c r="C58" s="34" t="s">
        <v>463</v>
      </c>
      <c r="D58" s="34"/>
      <c r="E58" s="37"/>
      <c r="F58" s="36"/>
      <c r="G58" s="36"/>
      <c r="H58" s="36"/>
      <c r="I58" s="36"/>
      <c r="J58" s="34"/>
      <c r="K58" s="34"/>
      <c r="L58" s="34"/>
      <c r="M58" s="36"/>
      <c r="N58" s="36"/>
      <c r="O58" s="38"/>
      <c r="P58" s="38"/>
      <c r="Q58" s="38"/>
      <c r="R58" s="38"/>
      <c r="S58" s="38"/>
      <c r="T58" s="38"/>
      <c r="U58" s="38"/>
      <c r="V58" s="38"/>
      <c r="W58" s="38"/>
      <c r="X58" s="38"/>
      <c r="Y58" s="38"/>
    </row>
    <row r="59">
      <c r="A59" s="22">
        <f t="shared" si="1"/>
        <v>55</v>
      </c>
      <c r="B59" s="87" t="s">
        <v>679</v>
      </c>
      <c r="C59" s="22" t="s">
        <v>375</v>
      </c>
      <c r="D59" s="22" t="s">
        <v>621</v>
      </c>
      <c r="E59" s="91" t="str">
        <f>HYPERLINK("https://www.city.tsurugashima.lg.jp/page/page004141.html", "Link to " &amp; "Saitama Prefrecture : " &amp; $B59 &amp;" City")</f>
        <v>Link to Saitama Prefrecture : Tsurugashima City</v>
      </c>
      <c r="F59" s="23"/>
      <c r="G59" s="23"/>
      <c r="H59" s="23"/>
      <c r="I59" s="23"/>
      <c r="J59" s="22"/>
      <c r="K59" s="22"/>
      <c r="L59" s="22"/>
      <c r="M59" s="23"/>
      <c r="N59" s="23"/>
      <c r="O59" s="25"/>
      <c r="P59" s="25"/>
      <c r="Q59" s="25"/>
      <c r="R59" s="25"/>
      <c r="S59" s="25"/>
      <c r="T59" s="25"/>
      <c r="U59" s="25"/>
      <c r="V59" s="25"/>
      <c r="W59" s="25"/>
      <c r="X59" s="25"/>
      <c r="Y59" s="25"/>
    </row>
    <row r="60">
      <c r="A60" s="34">
        <f t="shared" si="1"/>
        <v>56</v>
      </c>
      <c r="B60" s="64" t="s">
        <v>680</v>
      </c>
      <c r="C60" s="64" t="s">
        <v>463</v>
      </c>
      <c r="D60" s="38"/>
      <c r="E60" s="37"/>
      <c r="F60" s="38"/>
      <c r="G60" s="38"/>
      <c r="H60" s="38"/>
      <c r="I60" s="38"/>
      <c r="J60" s="38"/>
      <c r="K60" s="38"/>
      <c r="L60" s="38"/>
      <c r="M60" s="38"/>
      <c r="N60" s="38"/>
      <c r="O60" s="38"/>
      <c r="P60" s="38"/>
      <c r="Q60" s="38"/>
      <c r="R60" s="38"/>
      <c r="S60" s="38"/>
      <c r="T60" s="38"/>
      <c r="U60" s="38"/>
      <c r="V60" s="38"/>
      <c r="W60" s="38"/>
      <c r="X60" s="38"/>
      <c r="Y60" s="38"/>
    </row>
    <row r="61">
      <c r="A61" s="34">
        <f t="shared" si="1"/>
        <v>57</v>
      </c>
      <c r="B61" s="64" t="s">
        <v>681</v>
      </c>
      <c r="C61" s="64" t="s">
        <v>463</v>
      </c>
      <c r="D61" s="38"/>
      <c r="E61" s="37"/>
      <c r="F61" s="38"/>
      <c r="G61" s="38"/>
      <c r="H61" s="38"/>
      <c r="I61" s="38"/>
      <c r="J61" s="38"/>
      <c r="K61" s="38"/>
      <c r="L61" s="38"/>
      <c r="M61" s="38"/>
      <c r="N61" s="38"/>
      <c r="O61" s="38"/>
      <c r="P61" s="38"/>
      <c r="Q61" s="38"/>
      <c r="R61" s="38"/>
      <c r="S61" s="38"/>
      <c r="T61" s="38"/>
      <c r="U61" s="38"/>
      <c r="V61" s="38"/>
      <c r="W61" s="38"/>
      <c r="X61" s="38"/>
      <c r="Y61" s="38"/>
    </row>
    <row r="62">
      <c r="A62" s="22">
        <f t="shared" si="1"/>
        <v>58</v>
      </c>
      <c r="B62" s="104" t="s">
        <v>682</v>
      </c>
      <c r="C62" s="104" t="s">
        <v>375</v>
      </c>
      <c r="D62" s="104" t="s">
        <v>510</v>
      </c>
      <c r="E62" s="91" t="str">
        <f>HYPERLINK("https://www.city.yashio.lg.jp/shisei/machizukuri/akiyataisakusuisin/yashio_akiyabank.html", "Link to " &amp; "Saitama Prefrecture : " &amp; $B62 &amp;" City")</f>
        <v>Link to Saitama Prefrecture : Yashio City</v>
      </c>
      <c r="F62" s="25"/>
      <c r="G62" s="25"/>
      <c r="H62" s="25"/>
      <c r="I62" s="25"/>
      <c r="J62" s="25"/>
      <c r="K62" s="25"/>
      <c r="L62" s="25"/>
      <c r="M62" s="25"/>
      <c r="N62" s="25"/>
      <c r="O62" s="25"/>
      <c r="P62" s="25"/>
      <c r="Q62" s="25"/>
      <c r="R62" s="25"/>
      <c r="S62" s="25"/>
      <c r="T62" s="25"/>
      <c r="U62" s="25"/>
      <c r="V62" s="25"/>
      <c r="W62" s="25"/>
      <c r="X62" s="25"/>
      <c r="Y62" s="25"/>
    </row>
    <row r="63">
      <c r="A63" s="22">
        <f t="shared" si="1"/>
        <v>59</v>
      </c>
      <c r="B63" s="104" t="s">
        <v>683</v>
      </c>
      <c r="C63" s="104" t="s">
        <v>375</v>
      </c>
      <c r="D63" s="104" t="s">
        <v>160</v>
      </c>
      <c r="E63" s="91" t="str">
        <f>HYPERLINK("https://chichibuakiyabank.com/search-results?trade=sell&amp;area=yokoze&amp;property=&amp;price=", "Link to " &amp; "Saitama Prefrecture : " &amp; $B63 &amp;" City")</f>
        <v>Link to Saitama Prefrecture : Yokoze City</v>
      </c>
      <c r="F63" s="25"/>
      <c r="G63" s="25"/>
      <c r="H63" s="25"/>
      <c r="I63" s="25"/>
      <c r="J63" s="25"/>
      <c r="K63" s="25"/>
      <c r="L63" s="25"/>
      <c r="M63" s="25"/>
      <c r="N63" s="25"/>
      <c r="O63" s="25"/>
      <c r="P63" s="25"/>
      <c r="Q63" s="25"/>
      <c r="R63" s="25"/>
      <c r="S63" s="25"/>
      <c r="T63" s="25"/>
      <c r="U63" s="25"/>
      <c r="V63" s="25"/>
      <c r="W63" s="25"/>
      <c r="X63" s="25"/>
      <c r="Y63" s="25"/>
    </row>
    <row r="64">
      <c r="A64" s="22">
        <f t="shared" si="1"/>
        <v>60</v>
      </c>
      <c r="B64" s="104" t="s">
        <v>684</v>
      </c>
      <c r="C64" s="104" t="s">
        <v>375</v>
      </c>
      <c r="D64" s="104" t="s">
        <v>510</v>
      </c>
      <c r="E64" s="91" t="str">
        <f>HYPERLINK("https://akiyabank.saihoku-ijuu.com/?property_type=&amp;contract_type=contract_sale&amp;cat_property=yorii&amp;status=&amp;range_sale=&amp;range_lease=&amp;s_value=&amp;s=*&amp;post_type=property", "Link to " &amp; "Saitama Prefrecture : " &amp; $B64 &amp;" City")</f>
        <v>Link to Saitama Prefrecture : Yorii City</v>
      </c>
      <c r="F64" s="25"/>
      <c r="G64" s="25"/>
      <c r="H64" s="25"/>
      <c r="I64" s="25"/>
      <c r="J64" s="25"/>
      <c r="K64" s="25"/>
      <c r="L64" s="25"/>
      <c r="M64" s="25"/>
      <c r="N64" s="25"/>
      <c r="O64" s="25"/>
      <c r="P64" s="25"/>
      <c r="Q64" s="25"/>
      <c r="R64" s="25"/>
      <c r="S64" s="25"/>
      <c r="T64" s="25"/>
      <c r="U64" s="25"/>
      <c r="V64" s="25"/>
      <c r="W64" s="25"/>
      <c r="X64" s="25"/>
      <c r="Y64" s="25"/>
    </row>
    <row r="65">
      <c r="A65" s="22">
        <f t="shared" si="1"/>
        <v>61</v>
      </c>
      <c r="B65" s="104" t="s">
        <v>685</v>
      </c>
      <c r="C65" s="104" t="s">
        <v>375</v>
      </c>
      <c r="D65" s="104" t="s">
        <v>510</v>
      </c>
      <c r="E65" s="91" t="str">
        <f>HYPERLINK("https://www.city.yoshikawa.saitama.jp/index.cfm/23,67249,230,1052,html", "Link to " &amp; "Saitama Prefrecture : " &amp; $B65 &amp;" City")</f>
        <v>Link to Saitama Prefrecture : Yoshikawa City</v>
      </c>
      <c r="F65" s="25"/>
      <c r="G65" s="25"/>
      <c r="H65" s="25"/>
      <c r="I65" s="25"/>
      <c r="J65" s="25"/>
      <c r="K65" s="25"/>
      <c r="L65" s="25"/>
      <c r="M65" s="25"/>
      <c r="N65" s="25"/>
      <c r="O65" s="25"/>
      <c r="P65" s="25"/>
      <c r="Q65" s="25"/>
      <c r="R65" s="25"/>
      <c r="S65" s="25"/>
      <c r="T65" s="25"/>
      <c r="U65" s="25"/>
      <c r="V65" s="25"/>
      <c r="W65" s="25"/>
      <c r="X65" s="25"/>
      <c r="Y65" s="25"/>
    </row>
    <row r="66">
      <c r="A66" s="34">
        <f t="shared" si="1"/>
        <v>62</v>
      </c>
      <c r="B66" s="64" t="s">
        <v>686</v>
      </c>
      <c r="C66" s="64" t="s">
        <v>463</v>
      </c>
      <c r="D66" s="38"/>
      <c r="E66" s="37"/>
      <c r="F66" s="38"/>
      <c r="G66" s="38"/>
      <c r="H66" s="38"/>
      <c r="I66" s="38"/>
      <c r="J66" s="38"/>
      <c r="K66" s="38"/>
      <c r="L66" s="38"/>
      <c r="M66" s="38"/>
      <c r="N66" s="38"/>
      <c r="O66" s="38"/>
      <c r="P66" s="38"/>
      <c r="Q66" s="38"/>
      <c r="R66" s="38"/>
      <c r="S66" s="38"/>
      <c r="T66" s="38"/>
      <c r="U66" s="38"/>
      <c r="V66" s="38"/>
      <c r="W66" s="38"/>
      <c r="X66" s="38"/>
      <c r="Y66" s="38"/>
    </row>
    <row r="67">
      <c r="E67" s="10"/>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13"/>
    <col customWidth="1" min="3" max="3" width="15.25"/>
    <col customWidth="1" min="4" max="4" width="26.88"/>
    <col customWidth="1" min="5" max="5" width="39.88"/>
    <col customWidth="1" min="6" max="6" width="18.25"/>
  </cols>
  <sheetData>
    <row r="2">
      <c r="A2" s="2" t="s">
        <v>687</v>
      </c>
      <c r="B2" s="2" t="s">
        <v>259</v>
      </c>
    </row>
    <row r="3">
      <c r="F3" s="3" t="s">
        <v>2</v>
      </c>
      <c r="G3" s="62"/>
    </row>
    <row r="4">
      <c r="A4" s="4" t="s">
        <v>3</v>
      </c>
      <c r="B4" s="4" t="s">
        <v>4</v>
      </c>
      <c r="C4" s="4" t="s">
        <v>5</v>
      </c>
      <c r="D4" s="4" t="s">
        <v>6</v>
      </c>
      <c r="E4" s="4" t="s">
        <v>7</v>
      </c>
      <c r="F4" s="6">
        <v>45323.0</v>
      </c>
      <c r="G4" s="6">
        <v>45352.0</v>
      </c>
      <c r="H4" s="6">
        <v>45383.0</v>
      </c>
      <c r="I4" s="6">
        <v>45413.0</v>
      </c>
      <c r="J4" s="6">
        <v>45444.0</v>
      </c>
      <c r="K4" s="6">
        <v>45474.0</v>
      </c>
      <c r="L4" s="9">
        <v>45505.0</v>
      </c>
      <c r="M4" s="11"/>
      <c r="N4" s="10"/>
      <c r="O4" s="10"/>
      <c r="P4" s="10"/>
      <c r="Q4" s="10"/>
    </row>
    <row r="5">
      <c r="A5" s="34">
        <v>1.0</v>
      </c>
      <c r="B5" s="100" t="s">
        <v>688</v>
      </c>
      <c r="C5" s="34" t="s">
        <v>375</v>
      </c>
      <c r="D5" s="93" t="s">
        <v>689</v>
      </c>
      <c r="E5" s="89" t="str">
        <f t="shared" ref="E5:E6" si="1">HYPERLINK("https://www.city.aioi.lg.jp/site/aioisiakiyabank/bukkenichiran.html", "Link to " &amp; A$2 &amp;" Prefrecture : " &amp; $B5 &amp;" City")</f>
        <v>Link to Hyogo Prefrecture : Aioi City</v>
      </c>
      <c r="F5" s="34"/>
      <c r="G5" s="36"/>
      <c r="H5" s="36"/>
      <c r="I5" s="36"/>
      <c r="J5" s="34"/>
      <c r="K5" s="34"/>
      <c r="L5" s="34"/>
      <c r="M5" s="36"/>
      <c r="N5" s="37"/>
      <c r="O5" s="37"/>
      <c r="P5" s="37"/>
      <c r="Q5" s="37"/>
      <c r="R5" s="38"/>
      <c r="S5" s="38"/>
      <c r="T5" s="38"/>
      <c r="U5" s="38"/>
      <c r="V5" s="38"/>
      <c r="W5" s="38"/>
      <c r="X5" s="38"/>
      <c r="Y5" s="38"/>
    </row>
    <row r="6">
      <c r="A6" s="22">
        <f t="shared" ref="A6:A45" si="2">$A5+1</f>
        <v>2</v>
      </c>
      <c r="B6" s="99" t="s">
        <v>690</v>
      </c>
      <c r="C6" s="22" t="s">
        <v>375</v>
      </c>
      <c r="D6" s="22" t="s">
        <v>691</v>
      </c>
      <c r="E6" s="91" t="str">
        <f t="shared" si="1"/>
        <v>Link to Hyogo Prefrecture : Akashi City</v>
      </c>
      <c r="F6" s="22"/>
      <c r="G6" s="23"/>
      <c r="H6" s="23"/>
      <c r="I6" s="23"/>
      <c r="J6" s="22"/>
      <c r="K6" s="22"/>
      <c r="L6" s="22"/>
      <c r="M6" s="23"/>
      <c r="N6" s="24"/>
      <c r="O6" s="24"/>
      <c r="P6" s="24"/>
      <c r="Q6" s="24"/>
      <c r="R6" s="25"/>
      <c r="S6" s="25"/>
      <c r="T6" s="25"/>
      <c r="U6" s="25"/>
      <c r="V6" s="25"/>
      <c r="W6" s="25"/>
      <c r="X6" s="25"/>
      <c r="Y6" s="25"/>
    </row>
    <row r="7">
      <c r="A7" s="22">
        <f t="shared" si="2"/>
        <v>3</v>
      </c>
      <c r="B7" s="99" t="s">
        <v>692</v>
      </c>
      <c r="C7" s="22" t="s">
        <v>375</v>
      </c>
      <c r="D7" s="22" t="s">
        <v>693</v>
      </c>
      <c r="E7" s="91" t="str">
        <f>HYPERLINK("https://www.city.ako.lg.jp/sangyoshinko/kanko/teiju/akiya-bukkenn.html", "Link to " &amp; A$2 &amp;" Prefrecture : " &amp; $B7 &amp;" City")</f>
        <v>Link to Hyogo Prefrecture : Akō City</v>
      </c>
      <c r="F7" s="22"/>
      <c r="G7" s="23"/>
      <c r="H7" s="23"/>
      <c r="I7" s="23"/>
      <c r="J7" s="22"/>
      <c r="K7" s="22"/>
      <c r="L7" s="22"/>
      <c r="M7" s="23"/>
      <c r="N7" s="24"/>
      <c r="O7" s="24"/>
      <c r="P7" s="24"/>
      <c r="Q7" s="24"/>
      <c r="R7" s="25"/>
      <c r="S7" s="25"/>
      <c r="T7" s="25"/>
      <c r="U7" s="25"/>
      <c r="V7" s="25"/>
      <c r="W7" s="25"/>
      <c r="X7" s="25"/>
      <c r="Y7" s="25"/>
    </row>
    <row r="8">
      <c r="A8" s="34">
        <f t="shared" si="2"/>
        <v>4</v>
      </c>
      <c r="B8" s="100" t="s">
        <v>694</v>
      </c>
      <c r="C8" s="34" t="s">
        <v>463</v>
      </c>
      <c r="D8" s="34"/>
      <c r="E8" s="37"/>
      <c r="F8" s="34"/>
      <c r="G8" s="36"/>
      <c r="H8" s="36"/>
      <c r="I8" s="36"/>
      <c r="J8" s="34"/>
      <c r="K8" s="34"/>
      <c r="L8" s="34"/>
      <c r="M8" s="36"/>
      <c r="N8" s="37"/>
      <c r="O8" s="37"/>
      <c r="P8" s="37"/>
      <c r="Q8" s="37"/>
      <c r="R8" s="38"/>
      <c r="S8" s="38"/>
      <c r="T8" s="38"/>
      <c r="U8" s="38"/>
      <c r="V8" s="38"/>
      <c r="W8" s="38"/>
      <c r="X8" s="38"/>
      <c r="Y8" s="38"/>
    </row>
    <row r="9">
      <c r="A9" s="34">
        <f t="shared" si="2"/>
        <v>5</v>
      </c>
      <c r="B9" s="34" t="s">
        <v>695</v>
      </c>
      <c r="C9" s="34" t="s">
        <v>375</v>
      </c>
      <c r="D9" s="34" t="s">
        <v>130</v>
      </c>
      <c r="E9" s="89" t="str">
        <f>HYPERLINK("https://www.asago-akiyabank.jp/house/", "Link to " &amp; A$2 &amp;" Prefrecture : " &amp; $B9 &amp;" City")</f>
        <v>Link to Hyogo Prefrecture : Asago City</v>
      </c>
      <c r="F9" s="34"/>
      <c r="G9" s="36"/>
      <c r="H9" s="36"/>
      <c r="I9" s="36"/>
      <c r="J9" s="34"/>
      <c r="K9" s="34"/>
      <c r="L9" s="34"/>
      <c r="M9" s="36"/>
      <c r="N9" s="37"/>
      <c r="O9" s="37"/>
      <c r="P9" s="37"/>
      <c r="Q9" s="37"/>
      <c r="R9" s="38"/>
      <c r="S9" s="38"/>
      <c r="T9" s="38"/>
      <c r="U9" s="38"/>
      <c r="V9" s="38"/>
      <c r="W9" s="38"/>
      <c r="X9" s="38"/>
      <c r="Y9" s="38"/>
    </row>
    <row r="10">
      <c r="A10" s="34">
        <f t="shared" si="2"/>
        <v>6</v>
      </c>
      <c r="B10" s="100" t="s">
        <v>196</v>
      </c>
      <c r="C10" s="34" t="s">
        <v>463</v>
      </c>
      <c r="D10" s="93"/>
      <c r="E10" s="37"/>
      <c r="F10" s="36"/>
      <c r="G10" s="36"/>
      <c r="H10" s="36"/>
      <c r="I10" s="36"/>
      <c r="J10" s="34"/>
      <c r="K10" s="34"/>
      <c r="L10" s="34"/>
      <c r="M10" s="36"/>
      <c r="N10" s="37"/>
      <c r="O10" s="37"/>
      <c r="P10" s="37"/>
      <c r="Q10" s="37"/>
      <c r="R10" s="38"/>
      <c r="S10" s="38"/>
      <c r="T10" s="38"/>
      <c r="U10" s="38"/>
      <c r="V10" s="38"/>
      <c r="W10" s="38"/>
      <c r="X10" s="38"/>
      <c r="Y10" s="38"/>
    </row>
    <row r="11">
      <c r="A11" s="29">
        <f t="shared" si="2"/>
        <v>7</v>
      </c>
      <c r="B11" s="101" t="s">
        <v>696</v>
      </c>
      <c r="C11" s="29" t="s">
        <v>375</v>
      </c>
      <c r="D11" s="29" t="s">
        <v>334</v>
      </c>
      <c r="E11" s="90" t="str">
        <f>HYPERLINK("https://www.awaji-teijyu.jp/index.html#panel2", "Link to " &amp; A$2 &amp;" Prefrecture : " &amp; $B11 &amp;" City")</f>
        <v>Link to Hyogo Prefrecture : Awaji City</v>
      </c>
      <c r="F11" s="31"/>
      <c r="G11" s="31"/>
      <c r="H11" s="31"/>
      <c r="I11" s="31"/>
      <c r="J11" s="29"/>
      <c r="K11" s="29"/>
      <c r="L11" s="29"/>
      <c r="M11" s="31"/>
      <c r="N11" s="32"/>
      <c r="O11" s="32"/>
      <c r="P11" s="32"/>
      <c r="Q11" s="32"/>
      <c r="R11" s="33"/>
      <c r="S11" s="33"/>
      <c r="T11" s="33"/>
      <c r="U11" s="33"/>
      <c r="V11" s="33"/>
      <c r="W11" s="33"/>
      <c r="X11" s="33"/>
      <c r="Y11" s="33"/>
    </row>
    <row r="12">
      <c r="A12" s="29">
        <f t="shared" si="2"/>
        <v>8</v>
      </c>
      <c r="B12" s="101" t="s">
        <v>697</v>
      </c>
      <c r="C12" s="29" t="s">
        <v>375</v>
      </c>
      <c r="D12" s="29" t="s">
        <v>698</v>
      </c>
      <c r="E12" s="90" t="str">
        <f>HYPERLINK("https://www.town.fukusaki.hyogo.jp/0000001949.html", "Link to " &amp; A$2 &amp;" Prefrecture : " &amp; $B12 &amp;" City")</f>
        <v>Link to Hyogo Prefrecture : Fukusaki City</v>
      </c>
      <c r="F12" s="29"/>
      <c r="G12" s="31"/>
      <c r="H12" s="31"/>
      <c r="I12" s="31"/>
      <c r="J12" s="29"/>
      <c r="K12" s="29"/>
      <c r="L12" s="29"/>
      <c r="M12" s="31"/>
      <c r="N12" s="32"/>
      <c r="O12" s="32"/>
      <c r="P12" s="32"/>
      <c r="Q12" s="32"/>
      <c r="R12" s="33"/>
      <c r="S12" s="33"/>
      <c r="T12" s="33"/>
      <c r="U12" s="33"/>
      <c r="V12" s="33"/>
      <c r="W12" s="33"/>
      <c r="X12" s="33"/>
      <c r="Y12" s="33"/>
    </row>
    <row r="13">
      <c r="A13" s="29">
        <f t="shared" si="2"/>
        <v>9</v>
      </c>
      <c r="B13" s="101" t="s">
        <v>699</v>
      </c>
      <c r="C13" s="29" t="s">
        <v>375</v>
      </c>
      <c r="D13" s="29" t="s">
        <v>162</v>
      </c>
      <c r="E13" s="90" t="str">
        <f>HYPERLINK("https://www.town.harima.lg.jp/toshikekaku/kurashi/machizukuri/toshi/akiya/akiyabanku_tourokuitiran.html", "Link to " &amp; A$2 &amp;" Prefrecture : " &amp; $B13 &amp;" City")</f>
        <v>Link to Hyogo Prefrecture : Harima City</v>
      </c>
      <c r="F13" s="31"/>
      <c r="G13" s="31"/>
      <c r="H13" s="31"/>
      <c r="I13" s="31"/>
      <c r="J13" s="29"/>
      <c r="K13" s="29"/>
      <c r="L13" s="29"/>
      <c r="M13" s="31"/>
      <c r="N13" s="32"/>
      <c r="O13" s="32"/>
      <c r="P13" s="32"/>
      <c r="Q13" s="32"/>
      <c r="R13" s="33"/>
      <c r="S13" s="33"/>
      <c r="T13" s="33"/>
      <c r="U13" s="33"/>
      <c r="V13" s="33"/>
      <c r="W13" s="33"/>
      <c r="X13" s="33"/>
      <c r="Y13" s="33"/>
    </row>
    <row r="14">
      <c r="A14" s="22">
        <f t="shared" si="2"/>
        <v>10</v>
      </c>
      <c r="B14" s="99" t="s">
        <v>700</v>
      </c>
      <c r="C14" s="22" t="s">
        <v>375</v>
      </c>
      <c r="D14" s="22" t="s">
        <v>693</v>
      </c>
      <c r="E14" s="91" t="str">
        <f>HYPERLINK("https://www.city.himeji.lg.jp/kurashi/0000009083.html", "Link to " &amp; A$2 &amp;" Prefrecture : " &amp; $B14 &amp;" City")</f>
        <v>Link to Hyogo Prefrecture : Himeji City</v>
      </c>
      <c r="F14" s="23"/>
      <c r="G14" s="23"/>
      <c r="H14" s="23"/>
      <c r="I14" s="23"/>
      <c r="J14" s="22"/>
      <c r="K14" s="22"/>
      <c r="L14" s="22"/>
      <c r="M14" s="23"/>
      <c r="N14" s="24"/>
      <c r="O14" s="24"/>
      <c r="P14" s="24"/>
      <c r="Q14" s="24"/>
      <c r="R14" s="25"/>
      <c r="S14" s="25"/>
      <c r="T14" s="25"/>
      <c r="U14" s="25"/>
      <c r="V14" s="25"/>
      <c r="W14" s="25"/>
      <c r="X14" s="25"/>
      <c r="Y14" s="25"/>
    </row>
    <row r="15">
      <c r="A15" s="34">
        <f t="shared" si="2"/>
        <v>11</v>
      </c>
      <c r="B15" s="100" t="s">
        <v>273</v>
      </c>
      <c r="C15" s="34" t="s">
        <v>375</v>
      </c>
      <c r="D15" s="34" t="s">
        <v>130</v>
      </c>
      <c r="E15" s="89" t="str">
        <f>HYPERLINK("https://www.town.ichikawa.lg.jp/info/440", "Link to " &amp; A$2 &amp;" Prefrecture : " &amp; $B15 &amp;" City")</f>
        <v>Link to Hyogo Prefrecture : Ichikawa City</v>
      </c>
      <c r="F15" s="36"/>
      <c r="G15" s="36"/>
      <c r="H15" s="36"/>
      <c r="I15" s="36"/>
      <c r="J15" s="34"/>
      <c r="K15" s="34"/>
      <c r="L15" s="34"/>
      <c r="M15" s="36"/>
      <c r="N15" s="37"/>
      <c r="O15" s="37"/>
      <c r="P15" s="37"/>
      <c r="Q15" s="37"/>
      <c r="R15" s="38"/>
      <c r="S15" s="38"/>
      <c r="T15" s="38"/>
      <c r="U15" s="38"/>
      <c r="V15" s="38"/>
      <c r="W15" s="38"/>
      <c r="X15" s="38"/>
      <c r="Y15" s="38"/>
    </row>
    <row r="16">
      <c r="A16" s="29">
        <f t="shared" si="2"/>
        <v>12</v>
      </c>
      <c r="B16" s="101" t="s">
        <v>701</v>
      </c>
      <c r="C16" s="29" t="s">
        <v>375</v>
      </c>
      <c r="D16" s="29" t="s">
        <v>702</v>
      </c>
      <c r="E16" s="90" t="str">
        <f>HYPERLINK("https://www.town.inagawa.lg.jp/soshiki/1024/1_1/index.html", "Link to " &amp; A$2 &amp;" Prefrecture : " &amp; $B16 &amp;" City")</f>
        <v>Link to Hyogo Prefrecture : Inagawa City</v>
      </c>
      <c r="F16" s="31"/>
      <c r="G16" s="31"/>
      <c r="H16" s="31"/>
      <c r="I16" s="31"/>
      <c r="J16" s="29"/>
      <c r="K16" s="29"/>
      <c r="L16" s="29"/>
      <c r="M16" s="31"/>
      <c r="N16" s="32"/>
      <c r="O16" s="32"/>
      <c r="P16" s="32"/>
      <c r="Q16" s="32"/>
      <c r="R16" s="33"/>
      <c r="S16" s="33"/>
      <c r="T16" s="33"/>
      <c r="U16" s="33"/>
      <c r="V16" s="33"/>
      <c r="W16" s="33"/>
      <c r="X16" s="33"/>
      <c r="Y16" s="33"/>
    </row>
    <row r="17">
      <c r="A17" s="29">
        <f t="shared" si="2"/>
        <v>13</v>
      </c>
      <c r="B17" s="101" t="s">
        <v>703</v>
      </c>
      <c r="C17" s="29" t="s">
        <v>375</v>
      </c>
      <c r="D17" s="29" t="s">
        <v>334</v>
      </c>
      <c r="E17" s="90" t="str">
        <f>HYPERLINK("https://www.town.hyogo-inami.lg.jp/0000003232.html", "Link to " &amp; A$2 &amp;" Prefrecture : " &amp; $B17 &amp;" City")</f>
        <v>Link to Hyogo Prefrecture : Inami City</v>
      </c>
      <c r="F17" s="29"/>
      <c r="G17" s="31"/>
      <c r="H17" s="31"/>
      <c r="I17" s="31"/>
      <c r="J17" s="29"/>
      <c r="K17" s="29"/>
      <c r="L17" s="29"/>
      <c r="M17" s="31"/>
      <c r="N17" s="32"/>
      <c r="O17" s="32"/>
      <c r="P17" s="32"/>
      <c r="Q17" s="32"/>
      <c r="R17" s="33"/>
      <c r="S17" s="33"/>
      <c r="T17" s="33"/>
      <c r="U17" s="33"/>
      <c r="V17" s="33"/>
      <c r="W17" s="33"/>
      <c r="X17" s="33"/>
      <c r="Y17" s="33"/>
    </row>
    <row r="18">
      <c r="A18" s="34">
        <f t="shared" si="2"/>
        <v>14</v>
      </c>
      <c r="B18" s="100" t="s">
        <v>704</v>
      </c>
      <c r="C18" s="34" t="s">
        <v>463</v>
      </c>
      <c r="D18" s="93"/>
      <c r="E18" s="37"/>
      <c r="F18" s="36"/>
      <c r="G18" s="36"/>
      <c r="H18" s="36"/>
      <c r="I18" s="36"/>
      <c r="J18" s="34"/>
      <c r="K18" s="34"/>
      <c r="L18" s="34"/>
      <c r="M18" s="36"/>
      <c r="N18" s="37"/>
      <c r="O18" s="37"/>
      <c r="P18" s="37"/>
      <c r="Q18" s="37"/>
      <c r="R18" s="38"/>
      <c r="S18" s="38"/>
      <c r="T18" s="38"/>
      <c r="U18" s="38"/>
      <c r="V18" s="38"/>
      <c r="W18" s="38"/>
      <c r="X18" s="38"/>
      <c r="Y18" s="38"/>
    </row>
    <row r="19">
      <c r="A19" s="29">
        <f t="shared" si="2"/>
        <v>15</v>
      </c>
      <c r="B19" s="101" t="s">
        <v>705</v>
      </c>
      <c r="C19" s="29" t="s">
        <v>375</v>
      </c>
      <c r="D19" s="92" t="s">
        <v>706</v>
      </c>
      <c r="E19" s="90" t="str">
        <f>HYPERLINK("https://www.city.kakogawa.lg.jp/kurashi/jutaku_doro_koen/jutaku/1534472888010.html", "Link to " &amp; A$2 &amp;" Prefrecture : " &amp; $B19 &amp;" City")</f>
        <v>Link to Hyogo Prefrecture : Kakogawa City</v>
      </c>
      <c r="F19" s="29"/>
      <c r="G19" s="31"/>
      <c r="H19" s="31"/>
      <c r="I19" s="31"/>
      <c r="J19" s="29"/>
      <c r="K19" s="29"/>
      <c r="L19" s="29"/>
      <c r="M19" s="31"/>
      <c r="N19" s="32"/>
      <c r="O19" s="32"/>
      <c r="P19" s="32"/>
      <c r="Q19" s="32"/>
      <c r="R19" s="33"/>
      <c r="S19" s="33"/>
      <c r="T19" s="33"/>
      <c r="U19" s="33"/>
      <c r="V19" s="33"/>
      <c r="W19" s="33"/>
      <c r="X19" s="33"/>
      <c r="Y19" s="33"/>
    </row>
    <row r="20">
      <c r="A20" s="34">
        <f t="shared" si="2"/>
        <v>16</v>
      </c>
      <c r="B20" s="100" t="s">
        <v>466</v>
      </c>
      <c r="C20" s="34" t="s">
        <v>375</v>
      </c>
      <c r="D20" s="93" t="s">
        <v>130</v>
      </c>
      <c r="E20" s="89" t="str">
        <f>HYPERLINK("https://kamicho-ijyu.com/house/", "Link to " &amp; A$2 &amp;" Prefrecture : " &amp; $B20 &amp;" City")</f>
        <v>Link to Hyogo Prefrecture : Kami City</v>
      </c>
      <c r="F20" s="34"/>
      <c r="G20" s="36"/>
      <c r="H20" s="36"/>
      <c r="I20" s="36"/>
      <c r="J20" s="34"/>
      <c r="K20" s="34"/>
      <c r="L20" s="34"/>
      <c r="M20" s="36"/>
      <c r="N20" s="37"/>
      <c r="O20" s="37"/>
      <c r="P20" s="37"/>
      <c r="Q20" s="37"/>
      <c r="R20" s="38"/>
      <c r="S20" s="38"/>
      <c r="T20" s="38"/>
      <c r="U20" s="38"/>
      <c r="V20" s="38"/>
      <c r="W20" s="38"/>
      <c r="X20" s="38"/>
      <c r="Y20" s="38"/>
    </row>
    <row r="21">
      <c r="A21" s="34">
        <f t="shared" si="2"/>
        <v>17</v>
      </c>
      <c r="B21" s="100" t="s">
        <v>707</v>
      </c>
      <c r="C21" s="34" t="s">
        <v>375</v>
      </c>
      <c r="D21" s="34" t="s">
        <v>130</v>
      </c>
      <c r="E21" s="89" t="str">
        <f>HYPERLINK("https://www.town.kamigori.hyogo.jp/iju_teiju/2/1/index.html", "Link to " &amp; A$2 &amp;" Prefrecture : " &amp; $B21 &amp;" City")</f>
        <v>Link to Hyogo Prefrecture : Kamigōri City</v>
      </c>
      <c r="F21" s="34"/>
      <c r="G21" s="36"/>
      <c r="H21" s="36"/>
      <c r="I21" s="36"/>
      <c r="J21" s="34"/>
      <c r="K21" s="34"/>
      <c r="L21" s="34"/>
      <c r="M21" s="36"/>
      <c r="N21" s="37"/>
      <c r="O21" s="37"/>
      <c r="P21" s="37"/>
      <c r="Q21" s="37"/>
      <c r="R21" s="38"/>
      <c r="S21" s="38"/>
      <c r="T21" s="38"/>
      <c r="U21" s="38"/>
      <c r="V21" s="38"/>
      <c r="W21" s="38"/>
      <c r="X21" s="38"/>
      <c r="Y21" s="38"/>
    </row>
    <row r="22">
      <c r="A22" s="29">
        <f t="shared" si="2"/>
        <v>18</v>
      </c>
      <c r="B22" s="101" t="s">
        <v>642</v>
      </c>
      <c r="C22" s="29" t="s">
        <v>375</v>
      </c>
      <c r="D22" s="92" t="s">
        <v>702</v>
      </c>
      <c r="E22" s="90" t="str">
        <f>HYPERLINK("https://www.town.kamikawa.hyogo.jp/0000000317.html", "Link to " &amp; A$2 &amp;" Prefrecture : " &amp; $B22 &amp;" City")</f>
        <v>Link to Hyogo Prefrecture : Kamikawa City</v>
      </c>
      <c r="F22" s="31"/>
      <c r="G22" s="31"/>
      <c r="H22" s="31"/>
      <c r="I22" s="31"/>
      <c r="J22" s="29"/>
      <c r="K22" s="29"/>
      <c r="L22" s="29"/>
      <c r="M22" s="31"/>
      <c r="N22" s="32"/>
      <c r="O22" s="32"/>
      <c r="P22" s="32"/>
      <c r="Q22" s="32"/>
      <c r="R22" s="33"/>
      <c r="S22" s="33"/>
      <c r="T22" s="33"/>
      <c r="U22" s="33"/>
      <c r="V22" s="33"/>
      <c r="W22" s="33"/>
      <c r="X22" s="33"/>
      <c r="Y22" s="33"/>
    </row>
    <row r="23">
      <c r="A23" s="34">
        <f t="shared" si="2"/>
        <v>19</v>
      </c>
      <c r="B23" s="100" t="s">
        <v>708</v>
      </c>
      <c r="C23" s="34" t="s">
        <v>375</v>
      </c>
      <c r="D23" s="34" t="s">
        <v>130</v>
      </c>
      <c r="E23" s="89" t="str">
        <f>HYPERLINK("https://www.city.kasai.hyogo.jp/akiya/search.php?hid_flg_search=1&amp;page=1&amp;chiiki%5B%5D=1&amp;chiiki%5B%5D=2&amp;chiiki%5B%5D=3&amp;chiiki%5B%5D=4&amp;chiiki%5B%5D=5&amp;chiiki%5B%5D=6&amp;chiiki%5B%5D=7&amp;chiiki%5B%5D=8&amp;chiiki%5B%5D=9&amp;chiiki%5B%5D=10&amp;chiiki_all=all", "Link to " &amp; A$2 &amp;" Prefrecture : " &amp; $B23 &amp;" City")</f>
        <v>Link to Hyogo Prefrecture : Kasai City</v>
      </c>
      <c r="F23" s="34"/>
      <c r="G23" s="36"/>
      <c r="H23" s="36"/>
      <c r="I23" s="36"/>
      <c r="J23" s="34"/>
      <c r="K23" s="34"/>
      <c r="L23" s="34"/>
      <c r="M23" s="36"/>
      <c r="N23" s="37"/>
      <c r="O23" s="37"/>
      <c r="P23" s="37"/>
      <c r="Q23" s="37"/>
      <c r="R23" s="38"/>
      <c r="S23" s="38"/>
      <c r="T23" s="38"/>
      <c r="U23" s="38"/>
      <c r="V23" s="38"/>
      <c r="W23" s="38"/>
      <c r="X23" s="38"/>
      <c r="Y23" s="38"/>
    </row>
    <row r="24">
      <c r="A24" s="34">
        <f t="shared" si="2"/>
        <v>20</v>
      </c>
      <c r="B24" s="100" t="s">
        <v>709</v>
      </c>
      <c r="C24" s="34" t="s">
        <v>375</v>
      </c>
      <c r="D24" s="34" t="s">
        <v>130</v>
      </c>
      <c r="E24" s="89" t="str">
        <f>HYPERLINK("https://www.city.kato.lg.jp/kakukanogoannai/toshiseibibu/toshiseisakuka/jutaku/akiyakatuyou/buken_syoukai/1503973310280.html", "Link to " &amp; A$2 &amp;" Prefrecture : " &amp; $B24 &amp;" City")</f>
        <v>Link to Hyogo Prefrecture : Katō City</v>
      </c>
      <c r="F24" s="34"/>
      <c r="G24" s="36"/>
      <c r="H24" s="36"/>
      <c r="I24" s="36"/>
      <c r="J24" s="34"/>
      <c r="K24" s="34"/>
      <c r="L24" s="34"/>
      <c r="M24" s="36"/>
      <c r="N24" s="37"/>
      <c r="O24" s="37"/>
      <c r="P24" s="37"/>
      <c r="Q24" s="37"/>
      <c r="R24" s="38"/>
      <c r="S24" s="38"/>
      <c r="T24" s="38"/>
      <c r="U24" s="38"/>
      <c r="V24" s="38"/>
      <c r="W24" s="38"/>
      <c r="X24" s="38"/>
      <c r="Y24" s="38"/>
    </row>
    <row r="25">
      <c r="A25" s="34">
        <f t="shared" si="2"/>
        <v>21</v>
      </c>
      <c r="B25" s="100" t="s">
        <v>710</v>
      </c>
      <c r="C25" s="34" t="s">
        <v>463</v>
      </c>
      <c r="D25" s="34"/>
      <c r="E25" s="37"/>
      <c r="F25" s="36"/>
      <c r="G25" s="34"/>
      <c r="H25" s="36"/>
      <c r="I25" s="36"/>
      <c r="J25" s="34"/>
      <c r="K25" s="34"/>
      <c r="L25" s="34"/>
      <c r="M25" s="36"/>
      <c r="N25" s="37"/>
      <c r="O25" s="37"/>
      <c r="P25" s="37"/>
      <c r="Q25" s="37"/>
      <c r="R25" s="38"/>
      <c r="S25" s="38"/>
      <c r="T25" s="38"/>
      <c r="U25" s="38"/>
      <c r="V25" s="38"/>
      <c r="W25" s="38"/>
      <c r="X25" s="38"/>
      <c r="Y25" s="38"/>
    </row>
    <row r="26">
      <c r="A26" s="34">
        <f t="shared" si="2"/>
        <v>22</v>
      </c>
      <c r="B26" s="100" t="s">
        <v>711</v>
      </c>
      <c r="C26" s="34" t="s">
        <v>375</v>
      </c>
      <c r="D26" s="34" t="s">
        <v>130</v>
      </c>
      <c r="E26" s="89" t="str">
        <f>HYPERLINK("https://kobe-satoyama.jp/bank/", "Link to " &amp; A$2 &amp;" Prefrecture : " &amp; $B26 &amp;" City")</f>
        <v>Link to Hyogo Prefrecture : Kobe City</v>
      </c>
      <c r="F26" s="36"/>
      <c r="G26" s="36"/>
      <c r="H26" s="36"/>
      <c r="I26" s="36"/>
      <c r="J26" s="34"/>
      <c r="K26" s="34"/>
      <c r="L26" s="34"/>
      <c r="M26" s="36"/>
      <c r="N26" s="37"/>
      <c r="O26" s="37"/>
      <c r="P26" s="37"/>
      <c r="Q26" s="37"/>
      <c r="R26" s="38"/>
      <c r="S26" s="38"/>
      <c r="T26" s="38"/>
      <c r="U26" s="38"/>
      <c r="V26" s="38"/>
      <c r="W26" s="38"/>
      <c r="X26" s="38"/>
      <c r="Y26" s="38"/>
    </row>
    <row r="27">
      <c r="A27" s="34">
        <f t="shared" si="2"/>
        <v>23</v>
      </c>
      <c r="B27" s="100" t="s">
        <v>712</v>
      </c>
      <c r="C27" s="34" t="s">
        <v>375</v>
      </c>
      <c r="D27" s="34" t="s">
        <v>130</v>
      </c>
      <c r="E27" s="89" t="str">
        <f>HYPERLINK("https://www.miki-akiyabank.com/article/?s=&amp;post_type=article&amp;article_type%5B%5D=akiya&amp;sell_price=&amp;rent_price=", "Link to " &amp; A$2 &amp;" Prefrecture : " &amp; $B27 &amp;" City")</f>
        <v>Link to Hyogo Prefrecture : Miki City</v>
      </c>
      <c r="F27" s="36"/>
      <c r="G27" s="36"/>
      <c r="H27" s="36"/>
      <c r="I27" s="36"/>
      <c r="J27" s="34"/>
      <c r="K27" s="34"/>
      <c r="L27" s="34"/>
      <c r="M27" s="36"/>
      <c r="N27" s="37"/>
      <c r="O27" s="37"/>
      <c r="P27" s="37"/>
      <c r="Q27" s="37"/>
      <c r="R27" s="38"/>
      <c r="S27" s="38"/>
      <c r="T27" s="38"/>
      <c r="U27" s="38"/>
      <c r="V27" s="38"/>
      <c r="W27" s="38"/>
      <c r="X27" s="38"/>
      <c r="Y27" s="38"/>
    </row>
    <row r="28">
      <c r="A28" s="34">
        <f t="shared" si="2"/>
        <v>24</v>
      </c>
      <c r="B28" s="100" t="s">
        <v>713</v>
      </c>
      <c r="C28" s="34" t="s">
        <v>375</v>
      </c>
      <c r="D28" s="34" t="s">
        <v>130</v>
      </c>
      <c r="E28" s="89" t="str">
        <f>HYPERLINK("https://www.suminiko.jp/list.php?_area_1=on&amp;_area_4=on&amp;_area_2=on&amp;_area_3=on&amp;_kibo_keiyaku_kbn_1=on&amp;_keyword=&amp;_btn_search=search", "Link to " &amp; A$2 &amp;" Prefrecture : " &amp; $B28 &amp;" City")</f>
        <v>Link to Hyogo Prefrecture : Minamiawaji City</v>
      </c>
      <c r="F28" s="34"/>
      <c r="G28" s="36"/>
      <c r="H28" s="36"/>
      <c r="I28" s="36"/>
      <c r="J28" s="34"/>
      <c r="K28" s="34"/>
      <c r="L28" s="34"/>
      <c r="M28" s="36"/>
      <c r="N28" s="37"/>
      <c r="O28" s="37"/>
      <c r="P28" s="37"/>
      <c r="Q28" s="37"/>
      <c r="R28" s="38"/>
      <c r="S28" s="38"/>
      <c r="T28" s="38"/>
      <c r="U28" s="38"/>
      <c r="V28" s="38"/>
      <c r="W28" s="38"/>
      <c r="X28" s="38"/>
      <c r="Y28" s="38"/>
    </row>
    <row r="29">
      <c r="A29" s="29">
        <f t="shared" si="2"/>
        <v>25</v>
      </c>
      <c r="B29" s="101" t="s">
        <v>714</v>
      </c>
      <c r="C29" s="29" t="s">
        <v>375</v>
      </c>
      <c r="D29" s="29" t="s">
        <v>334</v>
      </c>
      <c r="E29" s="90" t="str">
        <f>HYPERLINK("https://www.nishi.or.jp/kurashi/sumai/joho/tetsuzuki/akiya-bank.html", "Link to " &amp; A$2 &amp;" Prefrecture : " &amp; $B29 &amp;" City")</f>
        <v>Link to Hyogo Prefrecture : Nishinomiya City</v>
      </c>
      <c r="F29" s="29"/>
      <c r="G29" s="31"/>
      <c r="H29" s="31"/>
      <c r="I29" s="31"/>
      <c r="J29" s="29"/>
      <c r="K29" s="29"/>
      <c r="L29" s="29"/>
      <c r="M29" s="31"/>
      <c r="N29" s="32"/>
      <c r="O29" s="32"/>
      <c r="P29" s="32"/>
      <c r="Q29" s="32"/>
      <c r="R29" s="33"/>
      <c r="S29" s="33"/>
      <c r="T29" s="33"/>
      <c r="U29" s="33"/>
      <c r="V29" s="33"/>
      <c r="W29" s="33"/>
      <c r="X29" s="33"/>
      <c r="Y29" s="33"/>
    </row>
    <row r="30">
      <c r="A30" s="29">
        <f t="shared" si="2"/>
        <v>26</v>
      </c>
      <c r="B30" s="101" t="s">
        <v>715</v>
      </c>
      <c r="C30" s="29" t="s">
        <v>375</v>
      </c>
      <c r="D30" s="29" t="s">
        <v>702</v>
      </c>
      <c r="E30" s="90" t="str">
        <f>HYPERLINK("https://www.city.nishiwaki.lg.jp/iju/akiya_bank/index.html", "Link to " &amp; A$2 &amp;" Prefrecture : " &amp; $B30 &amp;" City")</f>
        <v>Link to Hyogo Prefrecture : Nishiwaki City</v>
      </c>
      <c r="F30" s="31"/>
      <c r="G30" s="31"/>
      <c r="H30" s="31"/>
      <c r="I30" s="31"/>
      <c r="J30" s="29"/>
      <c r="K30" s="29"/>
      <c r="L30" s="29"/>
      <c r="M30" s="31"/>
      <c r="N30" s="32"/>
      <c r="O30" s="32"/>
      <c r="P30" s="32"/>
      <c r="Q30" s="32"/>
      <c r="R30" s="33"/>
      <c r="S30" s="33"/>
      <c r="T30" s="33"/>
      <c r="U30" s="33"/>
      <c r="V30" s="33"/>
      <c r="W30" s="33"/>
      <c r="X30" s="33"/>
      <c r="Y30" s="33"/>
    </row>
    <row r="31">
      <c r="A31" s="29">
        <f t="shared" si="2"/>
        <v>27</v>
      </c>
      <c r="B31" s="81" t="s">
        <v>716</v>
      </c>
      <c r="C31" s="29" t="s">
        <v>375</v>
      </c>
      <c r="D31" s="29" t="s">
        <v>334</v>
      </c>
      <c r="E31" s="90" t="str">
        <f>HYPERLINK("https://www.city.ono.hyogo.jp/soshikikarasagasu/chiikishinkobu_machizukurika/gyomuannai/7/2/5107.html", "Link to " &amp; A$2 &amp;" Prefrecture : " &amp; $B31 &amp;" City")</f>
        <v>Link to Hyogo Prefrecture : Ono City</v>
      </c>
      <c r="F31" s="29"/>
      <c r="G31" s="31"/>
      <c r="H31" s="31"/>
      <c r="I31" s="31"/>
      <c r="J31" s="29"/>
      <c r="K31" s="29"/>
      <c r="L31" s="29"/>
      <c r="M31" s="31"/>
      <c r="N31" s="31"/>
      <c r="O31" s="32"/>
      <c r="P31" s="32"/>
      <c r="Q31" s="32"/>
      <c r="R31" s="33"/>
      <c r="S31" s="33"/>
      <c r="T31" s="33"/>
      <c r="U31" s="33"/>
      <c r="V31" s="33"/>
      <c r="W31" s="33"/>
      <c r="X31" s="33"/>
      <c r="Y31" s="33"/>
    </row>
    <row r="32">
      <c r="A32" s="22">
        <f t="shared" si="2"/>
        <v>28</v>
      </c>
      <c r="B32" s="87" t="s">
        <v>717</v>
      </c>
      <c r="C32" s="22" t="s">
        <v>375</v>
      </c>
      <c r="D32" s="22" t="s">
        <v>160</v>
      </c>
      <c r="E32" s="24"/>
      <c r="F32" s="22"/>
      <c r="G32" s="23"/>
      <c r="H32" s="23"/>
      <c r="I32" s="23"/>
      <c r="J32" s="22"/>
      <c r="K32" s="22"/>
      <c r="L32" s="22"/>
      <c r="M32" s="23"/>
      <c r="N32" s="23"/>
      <c r="O32" s="24"/>
      <c r="P32" s="24"/>
      <c r="Q32" s="24"/>
      <c r="R32" s="25"/>
      <c r="S32" s="25"/>
      <c r="T32" s="25"/>
      <c r="U32" s="25"/>
      <c r="V32" s="25"/>
      <c r="W32" s="25"/>
      <c r="X32" s="25"/>
      <c r="Y32" s="25"/>
    </row>
    <row r="33">
      <c r="A33" s="34">
        <f t="shared" si="2"/>
        <v>29</v>
      </c>
      <c r="B33" s="80" t="s">
        <v>718</v>
      </c>
      <c r="C33" s="34" t="s">
        <v>375</v>
      </c>
      <c r="D33" s="93" t="s">
        <v>130</v>
      </c>
      <c r="E33" s="89" t="str">
        <f>HYPERLINK("https://classo.jp/housesearch/", "Link to " &amp; A$2 &amp;" Prefrecture : " &amp; $B33 &amp;" City")</f>
        <v>Link to Hyogo Prefrecture : Sasayama City</v>
      </c>
      <c r="F33" s="36"/>
      <c r="G33" s="36"/>
      <c r="H33" s="36"/>
      <c r="I33" s="36"/>
      <c r="J33" s="34"/>
      <c r="K33" s="34"/>
      <c r="L33" s="34"/>
      <c r="M33" s="36"/>
      <c r="N33" s="36"/>
      <c r="O33" s="37"/>
      <c r="P33" s="37"/>
      <c r="Q33" s="37"/>
      <c r="R33" s="38"/>
      <c r="S33" s="38"/>
      <c r="T33" s="38"/>
      <c r="U33" s="38"/>
      <c r="V33" s="38"/>
      <c r="W33" s="38"/>
      <c r="X33" s="38"/>
      <c r="Y33" s="38"/>
    </row>
    <row r="34">
      <c r="A34" s="34">
        <f t="shared" si="2"/>
        <v>30</v>
      </c>
      <c r="B34" s="80" t="s">
        <v>719</v>
      </c>
      <c r="C34" s="34" t="s">
        <v>375</v>
      </c>
      <c r="D34" s="34" t="s">
        <v>130</v>
      </c>
      <c r="E34" s="89" t="str">
        <f>HYPERLINK("https://www.town.sayo.lg.jp/cms-sypher/teijyu/akiya/list.jsp", "Link to " &amp; A$2 &amp;" Prefrecture : " &amp; $B34 &amp;" City")</f>
        <v>Link to Hyogo Prefrecture : Sayō City</v>
      </c>
      <c r="F34" s="36"/>
      <c r="G34" s="36"/>
      <c r="H34" s="36"/>
      <c r="I34" s="36"/>
      <c r="J34" s="34"/>
      <c r="K34" s="34"/>
      <c r="L34" s="34"/>
      <c r="M34" s="36"/>
      <c r="N34" s="36"/>
      <c r="O34" s="37"/>
      <c r="P34" s="37"/>
      <c r="Q34" s="37"/>
      <c r="R34" s="38"/>
      <c r="S34" s="38"/>
      <c r="T34" s="38"/>
      <c r="U34" s="38"/>
      <c r="V34" s="38"/>
      <c r="W34" s="38"/>
      <c r="X34" s="38"/>
      <c r="Y34" s="38"/>
    </row>
    <row r="35">
      <c r="A35" s="34">
        <f t="shared" si="2"/>
        <v>31</v>
      </c>
      <c r="B35" s="80" t="s">
        <v>720</v>
      </c>
      <c r="C35" s="34" t="s">
        <v>375</v>
      </c>
      <c r="D35" s="93" t="s">
        <v>130</v>
      </c>
      <c r="E35" s="89" t="str">
        <f>HYPERLINK("https://ijyu.shinonsen.com/akiya/", "Link to " &amp; A$2 &amp;" Prefrecture : " &amp; $B35 &amp;" City")</f>
        <v>Link to Hyogo Prefrecture : Shin'onsen City</v>
      </c>
      <c r="F35" s="36"/>
      <c r="G35" s="36"/>
      <c r="H35" s="36"/>
      <c r="I35" s="36"/>
      <c r="J35" s="34"/>
      <c r="K35" s="34"/>
      <c r="L35" s="34"/>
      <c r="M35" s="36"/>
      <c r="N35" s="36"/>
      <c r="O35" s="37"/>
      <c r="P35" s="37"/>
      <c r="Q35" s="37"/>
      <c r="R35" s="38"/>
      <c r="S35" s="38"/>
      <c r="T35" s="38"/>
      <c r="U35" s="38"/>
      <c r="V35" s="38"/>
      <c r="W35" s="38"/>
      <c r="X35" s="38"/>
      <c r="Y35" s="38"/>
    </row>
    <row r="36">
      <c r="A36" s="34">
        <f t="shared" si="2"/>
        <v>32</v>
      </c>
      <c r="B36" s="80" t="s">
        <v>721</v>
      </c>
      <c r="C36" s="34" t="s">
        <v>375</v>
      </c>
      <c r="D36" s="34" t="s">
        <v>130</v>
      </c>
      <c r="E36" s="89" t="str">
        <f>HYPERLINK("https://www.city.shiso.lg.jp/cgi-bin/recruit.php/2/list", "Link to " &amp; A$2 &amp;" Prefrecture : " &amp; $B36 &amp;" City")</f>
        <v>Link to Hyogo Prefrecture : Shisō City</v>
      </c>
      <c r="F36" s="36"/>
      <c r="G36" s="36"/>
      <c r="H36" s="36"/>
      <c r="I36" s="36"/>
      <c r="J36" s="34"/>
      <c r="K36" s="34"/>
      <c r="L36" s="34"/>
      <c r="M36" s="36"/>
      <c r="N36" s="36"/>
      <c r="O36" s="37"/>
      <c r="P36" s="37"/>
      <c r="Q36" s="37"/>
      <c r="R36" s="38"/>
      <c r="S36" s="38"/>
      <c r="T36" s="38"/>
      <c r="U36" s="38"/>
      <c r="V36" s="38"/>
      <c r="W36" s="38"/>
      <c r="X36" s="38"/>
      <c r="Y36" s="38"/>
    </row>
    <row r="37">
      <c r="A37" s="29">
        <f t="shared" si="2"/>
        <v>33</v>
      </c>
      <c r="B37" s="81" t="s">
        <v>722</v>
      </c>
      <c r="C37" s="29" t="s">
        <v>375</v>
      </c>
      <c r="D37" s="29" t="s">
        <v>334</v>
      </c>
      <c r="E37" s="90" t="str">
        <f>HYPERLINK("https://sumo-navi.com/akiyabank/", "Link to " &amp; A$2 &amp;" Prefrecture : " &amp; $B37 &amp;" City")</f>
        <v>Link to Hyogo Prefrecture : Sumoto City</v>
      </c>
      <c r="F37" s="31"/>
      <c r="G37" s="31"/>
      <c r="H37" s="31"/>
      <c r="I37" s="31"/>
      <c r="J37" s="29"/>
      <c r="K37" s="29"/>
      <c r="L37" s="29"/>
      <c r="M37" s="31"/>
      <c r="N37" s="31"/>
      <c r="O37" s="32"/>
      <c r="P37" s="32"/>
      <c r="Q37" s="32"/>
      <c r="R37" s="33"/>
      <c r="S37" s="33"/>
      <c r="T37" s="33"/>
      <c r="U37" s="33"/>
      <c r="V37" s="33"/>
      <c r="W37" s="33"/>
      <c r="X37" s="33"/>
      <c r="Y37" s="33"/>
    </row>
    <row r="38">
      <c r="A38" s="22">
        <f t="shared" si="2"/>
        <v>34</v>
      </c>
      <c r="B38" s="87" t="s">
        <v>117</v>
      </c>
      <c r="C38" s="22" t="s">
        <v>375</v>
      </c>
      <c r="D38" s="22" t="s">
        <v>693</v>
      </c>
      <c r="E38" s="91" t="str">
        <f>HYPERLINK("https://www.town.hyogo-taishi.lg.jp/soshikikarasagasu/machizukuri/sumaikentiku/akiyataisaku/1609137980858.html", "Link to " &amp; A$2 &amp;" Prefrecture : " &amp; $B38 &amp;" City")</f>
        <v>Link to Hyogo Prefrecture : Taishi City</v>
      </c>
      <c r="F38" s="23"/>
      <c r="G38" s="23"/>
      <c r="H38" s="23"/>
      <c r="I38" s="23"/>
      <c r="J38" s="22"/>
      <c r="K38" s="22"/>
      <c r="L38" s="22"/>
      <c r="M38" s="23"/>
      <c r="N38" s="23"/>
      <c r="O38" s="24"/>
      <c r="P38" s="24"/>
      <c r="Q38" s="24"/>
      <c r="R38" s="25"/>
      <c r="S38" s="25"/>
      <c r="T38" s="25"/>
      <c r="U38" s="25"/>
      <c r="V38" s="25"/>
      <c r="W38" s="25"/>
      <c r="X38" s="25"/>
      <c r="Y38" s="25"/>
    </row>
    <row r="39">
      <c r="A39" s="34">
        <f t="shared" si="2"/>
        <v>35</v>
      </c>
      <c r="B39" s="80" t="s">
        <v>723</v>
      </c>
      <c r="C39" s="34" t="s">
        <v>375</v>
      </c>
      <c r="D39" s="34" t="s">
        <v>130</v>
      </c>
      <c r="E39" s="89" t="str">
        <f>HYPERLINK("https://teiju.takacho.net/live/", "Link to " &amp; A$2 &amp;" Prefrecture : " &amp; $B39 &amp;" City")</f>
        <v>Link to Hyogo Prefrecture : Taka City</v>
      </c>
      <c r="F39" s="36"/>
      <c r="G39" s="36"/>
      <c r="H39" s="36"/>
      <c r="I39" s="36"/>
      <c r="J39" s="34"/>
      <c r="K39" s="34"/>
      <c r="L39" s="34"/>
      <c r="M39" s="36"/>
      <c r="N39" s="36"/>
      <c r="O39" s="37"/>
      <c r="P39" s="37"/>
      <c r="Q39" s="37"/>
      <c r="R39" s="38"/>
      <c r="S39" s="38"/>
      <c r="T39" s="38"/>
      <c r="U39" s="38"/>
      <c r="V39" s="38"/>
      <c r="W39" s="38"/>
      <c r="X39" s="38"/>
      <c r="Y39" s="38"/>
    </row>
    <row r="40">
      <c r="A40" s="22">
        <f t="shared" si="2"/>
        <v>36</v>
      </c>
      <c r="B40" s="87" t="s">
        <v>724</v>
      </c>
      <c r="C40" s="22" t="s">
        <v>375</v>
      </c>
      <c r="D40" s="22" t="s">
        <v>725</v>
      </c>
      <c r="E40" s="91" t="str">
        <f>HYPERLINK("https://www.athome.co.jp/kodate/chuko/hyogo/takarazuka-city/list/?kwd=101", "Link to " &amp; A$2 &amp;" Prefrecture : " &amp; $B40 &amp;" City")</f>
        <v>Link to Hyogo Prefrecture : Takarazuka City</v>
      </c>
      <c r="F40" s="23"/>
      <c r="G40" s="23"/>
      <c r="H40" s="23"/>
      <c r="I40" s="23"/>
      <c r="J40" s="22"/>
      <c r="K40" s="22"/>
      <c r="L40" s="22"/>
      <c r="M40" s="23"/>
      <c r="N40" s="23"/>
      <c r="O40" s="24"/>
      <c r="P40" s="24"/>
      <c r="Q40" s="24"/>
      <c r="R40" s="25"/>
      <c r="S40" s="25"/>
      <c r="T40" s="25"/>
      <c r="U40" s="25"/>
      <c r="V40" s="25"/>
      <c r="W40" s="25"/>
      <c r="X40" s="25"/>
      <c r="Y40" s="25"/>
    </row>
    <row r="41">
      <c r="A41" s="29">
        <f t="shared" si="2"/>
        <v>37</v>
      </c>
      <c r="B41" s="81" t="s">
        <v>726</v>
      </c>
      <c r="C41" s="29" t="s">
        <v>375</v>
      </c>
      <c r="D41" s="29" t="s">
        <v>702</v>
      </c>
      <c r="E41" s="90" t="str">
        <f>HYPERLINK("https://www.city.takasago.lg.jp/soshikikarasagasu/kenchikujutakuka/akiyataisaku/1453.html", "Link to " &amp; A$2 &amp;" Prefrecture : " &amp; $B41 &amp;" City")</f>
        <v>Link to Hyogo Prefrecture : Takasago City</v>
      </c>
      <c r="F41" s="31"/>
      <c r="G41" s="31"/>
      <c r="H41" s="31"/>
      <c r="I41" s="31"/>
      <c r="J41" s="29"/>
      <c r="K41" s="29"/>
      <c r="L41" s="29"/>
      <c r="M41" s="31"/>
      <c r="N41" s="31"/>
      <c r="O41" s="33"/>
      <c r="P41" s="33"/>
      <c r="Q41" s="33"/>
      <c r="R41" s="33"/>
      <c r="S41" s="33"/>
      <c r="T41" s="33"/>
      <c r="U41" s="33"/>
      <c r="V41" s="33"/>
      <c r="W41" s="33"/>
      <c r="X41" s="33"/>
      <c r="Y41" s="33"/>
    </row>
    <row r="42">
      <c r="A42" s="34">
        <f t="shared" si="2"/>
        <v>38</v>
      </c>
      <c r="B42" s="80" t="s">
        <v>727</v>
      </c>
      <c r="C42" s="34" t="s">
        <v>375</v>
      </c>
      <c r="D42" s="34" t="s">
        <v>130</v>
      </c>
      <c r="E42" s="89" t="str">
        <f>HYPERLINK("https://teiju.info/smilebank", "Link to " &amp; A$2 &amp;" Prefrecture : " &amp; $B42 &amp;" City")</f>
        <v>Link to Hyogo Prefrecture : Tamba City</v>
      </c>
      <c r="F42" s="36"/>
      <c r="G42" s="36"/>
      <c r="H42" s="36"/>
      <c r="I42" s="36"/>
      <c r="J42" s="34"/>
      <c r="K42" s="34"/>
      <c r="L42" s="34"/>
      <c r="M42" s="36"/>
      <c r="N42" s="36"/>
      <c r="O42" s="38"/>
      <c r="P42" s="38"/>
      <c r="Q42" s="38"/>
      <c r="R42" s="38"/>
      <c r="S42" s="38"/>
      <c r="T42" s="38"/>
      <c r="U42" s="38"/>
      <c r="V42" s="38"/>
      <c r="W42" s="38"/>
      <c r="X42" s="38"/>
      <c r="Y42" s="38"/>
    </row>
    <row r="43">
      <c r="A43" s="29">
        <f t="shared" si="2"/>
        <v>39</v>
      </c>
      <c r="B43" s="81" t="s">
        <v>408</v>
      </c>
      <c r="C43" s="29" t="s">
        <v>375</v>
      </c>
      <c r="D43" s="29" t="s">
        <v>334</v>
      </c>
      <c r="E43" s="90" t="str">
        <f>HYPERLINK("https://www.city.tatsuno.lg.jp/iju/akiya-bank/1538.html", "Link to " &amp; A$2 &amp;" Prefrecture : " &amp; $B43 &amp;" City")</f>
        <v>Link to Hyogo Prefrecture : Tatsuno City</v>
      </c>
      <c r="F43" s="31"/>
      <c r="G43" s="31"/>
      <c r="H43" s="31"/>
      <c r="I43" s="31"/>
      <c r="J43" s="29"/>
      <c r="K43" s="29"/>
      <c r="L43" s="29"/>
      <c r="M43" s="31"/>
      <c r="N43" s="31"/>
      <c r="O43" s="33"/>
      <c r="P43" s="33"/>
      <c r="Q43" s="33"/>
      <c r="R43" s="33"/>
      <c r="S43" s="33"/>
      <c r="T43" s="33"/>
      <c r="U43" s="33"/>
      <c r="V43" s="33"/>
      <c r="W43" s="33"/>
      <c r="X43" s="33"/>
      <c r="Y43" s="33"/>
    </row>
    <row r="44">
      <c r="A44" s="34">
        <f t="shared" si="2"/>
        <v>40</v>
      </c>
      <c r="B44" s="80" t="s">
        <v>410</v>
      </c>
      <c r="C44" s="34" t="s">
        <v>375</v>
      </c>
      <c r="D44" s="34" t="s">
        <v>130</v>
      </c>
      <c r="E44" s="89" t="str">
        <f>HYPERLINK("https://tonderu-local.com/sumai/?bukken=jsearch", "Link to " &amp; A$2 &amp;" Prefrecture : " &amp; $B44 &amp;" City")</f>
        <v>Link to Hyogo Prefrecture : Toyooka City</v>
      </c>
      <c r="F44" s="36"/>
      <c r="G44" s="36"/>
      <c r="H44" s="36"/>
      <c r="I44" s="36"/>
      <c r="J44" s="34"/>
      <c r="K44" s="34"/>
      <c r="L44" s="34"/>
      <c r="M44" s="36"/>
      <c r="N44" s="36"/>
      <c r="O44" s="38"/>
      <c r="P44" s="38"/>
      <c r="Q44" s="38"/>
      <c r="R44" s="38"/>
      <c r="S44" s="38"/>
      <c r="T44" s="38"/>
      <c r="U44" s="38"/>
      <c r="V44" s="38"/>
      <c r="W44" s="38"/>
      <c r="X44" s="38"/>
      <c r="Y44" s="38"/>
    </row>
    <row r="45">
      <c r="A45" s="34">
        <f t="shared" si="2"/>
        <v>41</v>
      </c>
      <c r="B45" s="80" t="s">
        <v>728</v>
      </c>
      <c r="C45" s="34" t="s">
        <v>375</v>
      </c>
      <c r="D45" s="34" t="s">
        <v>130</v>
      </c>
      <c r="E45" s="89" t="str">
        <f>HYPERLINK("https://www.yabuakiyabank.jp/managedby/public/", "Link to " &amp; A$2 &amp;" Prefrecture : " &amp; $B45 &amp;" City")</f>
        <v>Link to Hyogo Prefrecture : Yabu City</v>
      </c>
      <c r="F45" s="36"/>
      <c r="G45" s="36"/>
      <c r="H45" s="36"/>
      <c r="I45" s="36"/>
      <c r="J45" s="34"/>
      <c r="K45" s="34"/>
      <c r="L45" s="34"/>
      <c r="M45" s="36"/>
      <c r="N45" s="36"/>
      <c r="O45" s="38"/>
      <c r="P45" s="38"/>
      <c r="Q45" s="38"/>
      <c r="R45" s="38"/>
      <c r="S45" s="38"/>
      <c r="T45" s="38"/>
      <c r="U45" s="38"/>
      <c r="V45" s="38"/>
      <c r="W45" s="38"/>
      <c r="X45" s="38"/>
      <c r="Y45" s="38"/>
    </row>
    <row r="46">
      <c r="A46" s="3"/>
      <c r="B46" s="10"/>
      <c r="C46" s="3"/>
      <c r="D46" s="3"/>
      <c r="E46" s="10"/>
      <c r="F46" s="11"/>
      <c r="G46" s="11"/>
      <c r="H46" s="11"/>
      <c r="I46" s="11"/>
      <c r="J46" s="3"/>
      <c r="K46" s="3"/>
      <c r="L46" s="3"/>
      <c r="M46" s="11"/>
      <c r="N46" s="11"/>
    </row>
    <row r="47">
      <c r="A47" s="3"/>
      <c r="B47" s="10"/>
      <c r="C47" s="3"/>
      <c r="D47" s="3"/>
      <c r="E47" s="10"/>
      <c r="F47" s="11"/>
      <c r="G47" s="11"/>
      <c r="H47" s="11"/>
      <c r="I47" s="11"/>
      <c r="J47" s="3"/>
      <c r="K47" s="3"/>
      <c r="L47" s="3"/>
      <c r="M47" s="11"/>
      <c r="N47" s="11"/>
    </row>
    <row r="48">
      <c r="A48" s="3"/>
      <c r="B48" s="105" t="s">
        <v>729</v>
      </c>
      <c r="C48" s="106" t="s">
        <v>730</v>
      </c>
      <c r="D48" s="13" t="s">
        <v>731</v>
      </c>
      <c r="E48" s="10"/>
      <c r="F48" s="11"/>
      <c r="G48" s="11"/>
      <c r="H48" s="11"/>
      <c r="I48" s="11"/>
      <c r="J48" s="3"/>
      <c r="K48" s="3"/>
      <c r="L48" s="3"/>
      <c r="M48" s="11"/>
      <c r="N48" s="11"/>
    </row>
    <row r="49">
      <c r="A49" s="3"/>
      <c r="B49" s="96" t="s">
        <v>732</v>
      </c>
      <c r="C49" s="3" t="s">
        <v>733</v>
      </c>
      <c r="D49" s="3"/>
      <c r="E49" s="10"/>
      <c r="F49" s="11"/>
      <c r="G49" s="11"/>
      <c r="H49" s="11"/>
      <c r="I49" s="11"/>
      <c r="J49" s="3"/>
      <c r="K49" s="3"/>
      <c r="L49" s="3"/>
      <c r="M49" s="11"/>
      <c r="N49" s="11"/>
    </row>
    <row r="50">
      <c r="A50" s="3"/>
      <c r="B50" s="96" t="s">
        <v>130</v>
      </c>
      <c r="C50" s="3">
        <f>COUNTIF(D:D,"Table")</f>
        <v>17</v>
      </c>
      <c r="D50" s="3"/>
      <c r="E50" s="10"/>
      <c r="F50" s="11"/>
      <c r="G50" s="11"/>
      <c r="H50" s="11"/>
      <c r="I50" s="11"/>
      <c r="J50" s="3"/>
      <c r="K50" s="3"/>
      <c r="L50" s="3"/>
      <c r="M50" s="11"/>
      <c r="N50" s="11"/>
    </row>
    <row r="51">
      <c r="A51" s="3"/>
      <c r="B51" s="96" t="s">
        <v>334</v>
      </c>
      <c r="C51" s="3">
        <f>COUNTIF(D:D,"PDF")</f>
        <v>7</v>
      </c>
      <c r="D51" s="3"/>
      <c r="E51" s="10"/>
      <c r="F51" s="11"/>
      <c r="G51" s="11"/>
      <c r="H51" s="11"/>
      <c r="I51" s="11"/>
      <c r="J51" s="3"/>
      <c r="K51" s="3"/>
      <c r="L51" s="3"/>
      <c r="M51" s="11"/>
      <c r="N51" s="11"/>
    </row>
    <row r="52">
      <c r="A52" s="3"/>
      <c r="B52" s="10"/>
      <c r="C52" s="3"/>
      <c r="D52" s="3"/>
      <c r="E52" s="10"/>
      <c r="F52" s="11"/>
      <c r="G52" s="11"/>
      <c r="H52" s="11"/>
      <c r="I52" s="11"/>
      <c r="J52" s="3"/>
      <c r="K52" s="3"/>
      <c r="L52" s="3"/>
      <c r="M52" s="11"/>
      <c r="N52" s="11"/>
    </row>
    <row r="53">
      <c r="A53" s="3"/>
      <c r="B53" s="107" t="s">
        <v>734</v>
      </c>
      <c r="C53" s="108" t="s">
        <v>735</v>
      </c>
      <c r="D53" s="3"/>
      <c r="E53" s="10"/>
      <c r="F53" s="11"/>
      <c r="G53" s="11"/>
      <c r="H53" s="11"/>
      <c r="I53" s="11"/>
      <c r="J53" s="3"/>
      <c r="K53" s="3"/>
      <c r="L53" s="3"/>
      <c r="M53" s="11"/>
      <c r="N53" s="11"/>
    </row>
    <row r="54">
      <c r="A54" s="3"/>
      <c r="B54" s="10"/>
      <c r="C54" s="3"/>
      <c r="D54" s="3"/>
      <c r="E54" s="10"/>
      <c r="F54" s="11"/>
      <c r="G54" s="11"/>
      <c r="H54" s="11"/>
      <c r="I54" s="11"/>
      <c r="J54" s="3"/>
      <c r="K54" s="3"/>
      <c r="L54" s="3"/>
      <c r="M54" s="11"/>
      <c r="N54" s="11"/>
    </row>
    <row r="55">
      <c r="A55" s="3"/>
      <c r="B55" s="10"/>
      <c r="C55" s="3"/>
      <c r="D55" s="3"/>
      <c r="E55" s="10"/>
      <c r="F55" s="11"/>
      <c r="G55" s="11"/>
      <c r="H55" s="11"/>
      <c r="I55" s="11"/>
      <c r="J55" s="3"/>
      <c r="K55" s="3"/>
      <c r="L55" s="3"/>
      <c r="M55" s="11"/>
      <c r="N55" s="11"/>
    </row>
    <row r="56">
      <c r="A56" s="3"/>
      <c r="B56" s="10"/>
      <c r="C56" s="3"/>
      <c r="D56" s="3"/>
      <c r="E56" s="10"/>
      <c r="F56" s="11"/>
      <c r="G56" s="11"/>
      <c r="H56" s="11"/>
      <c r="I56" s="11"/>
      <c r="J56" s="3"/>
      <c r="K56" s="3"/>
      <c r="L56" s="3"/>
      <c r="M56" s="11"/>
      <c r="N56" s="11"/>
    </row>
    <row r="57">
      <c r="A57" s="3"/>
      <c r="B57" s="10"/>
      <c r="C57" s="3"/>
      <c r="D57" s="3"/>
      <c r="E57" s="10"/>
      <c r="F57" s="11"/>
      <c r="G57" s="11"/>
      <c r="H57" s="11"/>
      <c r="I57" s="11"/>
      <c r="J57" s="3"/>
      <c r="K57" s="3"/>
      <c r="L57" s="3"/>
      <c r="M57" s="11"/>
      <c r="N57" s="11"/>
    </row>
    <row r="58">
      <c r="A58" s="3"/>
      <c r="B58" s="10"/>
      <c r="C58" s="3"/>
      <c r="D58" s="3"/>
      <c r="E58" s="10"/>
      <c r="F58" s="11"/>
      <c r="G58" s="11"/>
      <c r="H58" s="11"/>
      <c r="I58" s="11"/>
      <c r="J58" s="3"/>
      <c r="K58" s="3"/>
      <c r="L58" s="3"/>
      <c r="M58" s="11"/>
      <c r="N58" s="11"/>
    </row>
    <row r="59">
      <c r="A59" s="3"/>
      <c r="B59" s="10"/>
      <c r="C59" s="3"/>
      <c r="D59" s="3"/>
      <c r="E59" s="10"/>
      <c r="F59" s="11"/>
      <c r="G59" s="11"/>
      <c r="H59" s="11"/>
      <c r="I59" s="11"/>
      <c r="J59" s="3"/>
      <c r="K59" s="3"/>
      <c r="L59" s="3"/>
      <c r="M59" s="11"/>
      <c r="N59" s="11"/>
    </row>
  </sheetData>
  <conditionalFormatting sqref="B48">
    <cfRule type="notContainsBlanks" dxfId="0" priority="1">
      <formula>LEN(TRIM(B48))&gt;0</formula>
    </cfRule>
  </conditionalFormatting>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13"/>
    <col customWidth="1" min="3" max="3" width="15.25"/>
    <col customWidth="1" min="4" max="4" width="26.88"/>
    <col customWidth="1" min="5" max="5" width="39.88"/>
    <col customWidth="1" min="6" max="6" width="18.25"/>
  </cols>
  <sheetData>
    <row r="2">
      <c r="A2" s="2" t="s">
        <v>736</v>
      </c>
      <c r="B2" s="2" t="s">
        <v>259</v>
      </c>
    </row>
    <row r="3">
      <c r="F3" s="3" t="s">
        <v>2</v>
      </c>
      <c r="G3" s="62"/>
    </row>
    <row r="4">
      <c r="A4" s="4" t="s">
        <v>3</v>
      </c>
      <c r="B4" s="4" t="s">
        <v>4</v>
      </c>
      <c r="C4" s="4" t="s">
        <v>5</v>
      </c>
      <c r="D4" s="4" t="s">
        <v>6</v>
      </c>
      <c r="E4" s="4" t="s">
        <v>7</v>
      </c>
      <c r="F4" s="6">
        <v>45323.0</v>
      </c>
      <c r="G4" s="6">
        <v>45352.0</v>
      </c>
      <c r="H4" s="6">
        <v>45383.0</v>
      </c>
      <c r="I4" s="6">
        <v>45413.0</v>
      </c>
      <c r="J4" s="6">
        <v>45444.0</v>
      </c>
      <c r="K4" s="6">
        <v>45474.0</v>
      </c>
      <c r="L4" s="9">
        <v>45505.0</v>
      </c>
      <c r="M4" s="11"/>
      <c r="N4" s="10"/>
      <c r="O4" s="10"/>
      <c r="P4" s="10"/>
      <c r="Q4" s="10"/>
    </row>
    <row r="5">
      <c r="A5" s="34">
        <v>1.0</v>
      </c>
      <c r="B5" s="100" t="s">
        <v>737</v>
      </c>
      <c r="C5" s="34" t="s">
        <v>463</v>
      </c>
      <c r="D5" s="93" t="s">
        <v>203</v>
      </c>
      <c r="E5" s="37"/>
      <c r="F5" s="34"/>
      <c r="G5" s="36"/>
      <c r="H5" s="36"/>
      <c r="I5" s="36"/>
      <c r="J5" s="34"/>
      <c r="K5" s="34"/>
      <c r="L5" s="34"/>
      <c r="M5" s="36"/>
      <c r="N5" s="37"/>
      <c r="O5" s="37"/>
      <c r="P5" s="37"/>
      <c r="Q5" s="37"/>
      <c r="R5" s="38"/>
      <c r="S5" s="38"/>
      <c r="T5" s="38"/>
      <c r="U5" s="38"/>
      <c r="V5" s="38"/>
      <c r="W5" s="38"/>
      <c r="X5" s="38"/>
      <c r="Y5" s="38"/>
    </row>
    <row r="6">
      <c r="A6" s="34">
        <v>2.0</v>
      </c>
      <c r="B6" s="100" t="s">
        <v>738</v>
      </c>
      <c r="C6" s="34" t="s">
        <v>375</v>
      </c>
      <c r="D6" s="34" t="s">
        <v>203</v>
      </c>
      <c r="E6" s="89" t="str">
        <f>HYPERLINK("https://www-town-tochigi--haga-lg-jp.translate.goog/kurashi/sumai/akiya_bank/top.html?_x_tr_sl=ja&amp;_x_tr_tl=en&amp;_x_tr_hl=en-GB", "Link to " &amp; "Tochigi Prefrecture : " &amp; $B6 &amp;" City")</f>
        <v>Link to Tochigi Prefrecture : Haga City</v>
      </c>
      <c r="F6" s="34"/>
      <c r="G6" s="36"/>
      <c r="H6" s="36"/>
      <c r="I6" s="36"/>
      <c r="J6" s="34"/>
      <c r="K6" s="34"/>
      <c r="L6" s="34"/>
      <c r="M6" s="36"/>
      <c r="N6" s="37"/>
      <c r="O6" s="37"/>
      <c r="P6" s="37"/>
      <c r="Q6" s="37"/>
      <c r="R6" s="38"/>
      <c r="S6" s="38"/>
      <c r="T6" s="38"/>
      <c r="U6" s="38"/>
      <c r="V6" s="38"/>
      <c r="W6" s="38"/>
      <c r="X6" s="38"/>
      <c r="Y6" s="38"/>
    </row>
    <row r="7">
      <c r="A7" s="34">
        <v>3.0</v>
      </c>
      <c r="B7" s="100" t="s">
        <v>739</v>
      </c>
      <c r="C7" s="34" t="s">
        <v>740</v>
      </c>
      <c r="D7" s="34" t="s">
        <v>130</v>
      </c>
      <c r="E7" s="89" t="str">
        <f>HYPERLINK("https://www-town-ichikai-tochigi-jp.translate.goog/info/1012?_x_tr_sl=ja&amp;_x_tr_tl=en&amp;_x_tr_hl=en-GB", "Link to " &amp; "Tochigi Prefrecture : " &amp; $B7 &amp;" City")</f>
        <v>Link to Tochigi Prefrecture : Ichikai City</v>
      </c>
      <c r="F7" s="34"/>
      <c r="G7" s="36"/>
      <c r="H7" s="36"/>
      <c r="I7" s="36"/>
      <c r="J7" s="34"/>
      <c r="K7" s="34"/>
      <c r="L7" s="34"/>
      <c r="M7" s="36"/>
      <c r="N7" s="37"/>
      <c r="O7" s="37"/>
      <c r="P7" s="37"/>
      <c r="Q7" s="37"/>
      <c r="R7" s="38"/>
      <c r="S7" s="38"/>
      <c r="T7" s="38"/>
      <c r="U7" s="38"/>
      <c r="V7" s="38"/>
      <c r="W7" s="38"/>
      <c r="X7" s="38"/>
      <c r="Y7" s="38"/>
    </row>
    <row r="8">
      <c r="A8" s="22">
        <v>4.0</v>
      </c>
      <c r="B8" s="99" t="s">
        <v>741</v>
      </c>
      <c r="C8" s="22" t="s">
        <v>740</v>
      </c>
      <c r="D8" s="22" t="s">
        <v>742</v>
      </c>
      <c r="E8" s="91" t="str">
        <f>HYPERLINK("https://www-town-kaminokawa-lg-jp.translate.goog/0077/info-0000002022-0.html?_x_tr_sl=ja&amp;_x_tr_tl=en&amp;_x_tr_hl=en-GB", "Link to " &amp; "Tochigi Prefrecture : " &amp; $B8 &amp;" City")</f>
        <v>Link to Tochigi Prefrecture : Kaminokawa City</v>
      </c>
      <c r="F8" s="22"/>
      <c r="G8" s="23"/>
      <c r="H8" s="23"/>
      <c r="I8" s="23"/>
      <c r="J8" s="22"/>
      <c r="K8" s="22"/>
      <c r="L8" s="22"/>
      <c r="M8" s="23"/>
      <c r="N8" s="24"/>
      <c r="O8" s="24"/>
      <c r="P8" s="24"/>
      <c r="Q8" s="24"/>
      <c r="R8" s="25"/>
      <c r="S8" s="25"/>
      <c r="T8" s="25"/>
      <c r="U8" s="25"/>
      <c r="V8" s="25"/>
      <c r="W8" s="25"/>
      <c r="X8" s="25"/>
      <c r="Y8" s="25"/>
    </row>
    <row r="9">
      <c r="A9" s="29">
        <v>5.0</v>
      </c>
      <c r="B9" s="29" t="s">
        <v>743</v>
      </c>
      <c r="C9" s="29" t="s">
        <v>740</v>
      </c>
      <c r="D9" s="29" t="s">
        <v>139</v>
      </c>
      <c r="E9" s="90" t="str">
        <f>HYPERLINK("https://www-city-kanuma-tochigi-jp.translate.goog/0131/info-0000002394-1.html?_x_tr_sl=ja&amp;_x_tr_tl=en&amp;_x_tr_hl=en-GB", "Link to " &amp; "Tochigi Prefrecture : " &amp; $B9 &amp;" City")</f>
        <v>Link to Tochigi Prefrecture : Kanuma City</v>
      </c>
      <c r="F9" s="29"/>
      <c r="G9" s="31"/>
      <c r="H9" s="31"/>
      <c r="I9" s="31"/>
      <c r="J9" s="29"/>
      <c r="K9" s="29"/>
      <c r="L9" s="29"/>
      <c r="M9" s="31"/>
      <c r="N9" s="32"/>
      <c r="O9" s="32"/>
      <c r="P9" s="32"/>
      <c r="Q9" s="32"/>
      <c r="R9" s="33"/>
      <c r="S9" s="33"/>
      <c r="T9" s="33"/>
      <c r="U9" s="33"/>
      <c r="V9" s="33"/>
      <c r="W9" s="33"/>
      <c r="X9" s="33"/>
      <c r="Y9" s="33"/>
    </row>
    <row r="10">
      <c r="A10" s="22">
        <v>6.0</v>
      </c>
      <c r="B10" s="99" t="s">
        <v>744</v>
      </c>
      <c r="C10" s="22" t="s">
        <v>740</v>
      </c>
      <c r="D10" s="88" t="s">
        <v>160</v>
      </c>
      <c r="E10" s="91" t="str">
        <f>HYPERLINK("https://www-town-mashiko-lg-jp.translate.goog/page/page002140.html?_x_tr_sl=ja&amp;_x_tr_tl=en&amp;_x_tr_hl=en-GB", "Link to " &amp; "Tochigi Prefrecture : " &amp; $B10 &amp;" City")</f>
        <v>Link to Tochigi Prefrecture : Mashiko City</v>
      </c>
      <c r="F10" s="23"/>
      <c r="G10" s="23"/>
      <c r="H10" s="23"/>
      <c r="I10" s="23"/>
      <c r="J10" s="22"/>
      <c r="K10" s="22"/>
      <c r="L10" s="22"/>
      <c r="M10" s="23"/>
      <c r="N10" s="24"/>
      <c r="O10" s="24"/>
      <c r="P10" s="24"/>
      <c r="Q10" s="24"/>
      <c r="R10" s="25"/>
      <c r="S10" s="25"/>
      <c r="T10" s="25"/>
      <c r="U10" s="25"/>
      <c r="V10" s="25"/>
      <c r="W10" s="25"/>
      <c r="X10" s="25"/>
      <c r="Y10" s="25"/>
    </row>
    <row r="11">
      <c r="A11" s="22">
        <v>7.0</v>
      </c>
      <c r="B11" s="99" t="s">
        <v>745</v>
      </c>
      <c r="C11" s="22" t="s">
        <v>740</v>
      </c>
      <c r="D11" s="22" t="s">
        <v>15</v>
      </c>
      <c r="E11" s="91" t="str">
        <f>HYPERLINK("https://kensetsu9-wixsite-com.translate.goog/mibumachi-akiyabank/bukken?_x_tr_sl=ja&amp;_x_tr_tl=en&amp;_x_tr_hl=en-GB", "Link to " &amp; "Tochigi Prefrecture : " &amp; $B11 &amp;" City")</f>
        <v>Link to Tochigi Prefrecture : Mibu City</v>
      </c>
      <c r="F11" s="23"/>
      <c r="G11" s="23"/>
      <c r="H11" s="23"/>
      <c r="I11" s="23"/>
      <c r="J11" s="22"/>
      <c r="K11" s="22"/>
      <c r="L11" s="22"/>
      <c r="M11" s="23"/>
      <c r="N11" s="24"/>
      <c r="O11" s="24"/>
      <c r="P11" s="24"/>
      <c r="Q11" s="24"/>
      <c r="R11" s="25"/>
      <c r="S11" s="25"/>
      <c r="T11" s="25"/>
      <c r="U11" s="25"/>
      <c r="V11" s="25"/>
      <c r="W11" s="25"/>
      <c r="X11" s="25"/>
      <c r="Y11" s="25"/>
    </row>
    <row r="12">
      <c r="A12" s="22">
        <v>8.0</v>
      </c>
      <c r="B12" s="99" t="s">
        <v>746</v>
      </c>
      <c r="C12" s="22" t="s">
        <v>740</v>
      </c>
      <c r="D12" s="22" t="s">
        <v>15</v>
      </c>
      <c r="E12" s="91" t="str">
        <f>HYPERLINK("https://www-city-moka-lg-jp.translate.goog/soshiki/kensetsu/3/akiyabank/52721.html?_x_tr_sl=ja&amp;_x_tr_tl=en&amp;_x_tr_hl=en-GB", "Link to " &amp; "Tochigi Prefrecture : " &amp; $B12 &amp;" City")</f>
        <v>Link to Tochigi Prefrecture : Mooka City</v>
      </c>
      <c r="F12" s="22"/>
      <c r="G12" s="23"/>
      <c r="H12" s="23"/>
      <c r="I12" s="23"/>
      <c r="J12" s="22"/>
      <c r="K12" s="22"/>
      <c r="L12" s="22"/>
      <c r="M12" s="23"/>
      <c r="N12" s="24"/>
      <c r="O12" s="24"/>
      <c r="P12" s="24"/>
      <c r="Q12" s="24"/>
      <c r="R12" s="25"/>
      <c r="S12" s="25"/>
      <c r="T12" s="25"/>
      <c r="U12" s="25"/>
      <c r="V12" s="25"/>
      <c r="W12" s="25"/>
      <c r="X12" s="25"/>
      <c r="Y12" s="25"/>
    </row>
    <row r="13">
      <c r="A13" s="34">
        <v>9.0</v>
      </c>
      <c r="B13" s="100" t="s">
        <v>747</v>
      </c>
      <c r="C13" s="34" t="s">
        <v>740</v>
      </c>
      <c r="D13" s="34" t="s">
        <v>130</v>
      </c>
      <c r="E13" s="89" t="str">
        <f>HYPERLINK("https://www-town-motegi-tochigi-jp.translate.goog/teiju/akiyabank?_x_tr_sl=ja&amp;_x_tr_tl=en&amp;_x_tr_hl=en-GB", "Link to " &amp; "Tochigi Prefrecture : " &amp; $B13 &amp;" City")</f>
        <v>Link to Tochigi Prefrecture : Motegi City</v>
      </c>
      <c r="F13" s="36"/>
      <c r="G13" s="36"/>
      <c r="H13" s="36"/>
      <c r="I13" s="36"/>
      <c r="J13" s="34"/>
      <c r="K13" s="34"/>
      <c r="L13" s="34"/>
      <c r="M13" s="36"/>
      <c r="N13" s="37"/>
      <c r="O13" s="37"/>
      <c r="P13" s="37"/>
      <c r="Q13" s="37"/>
      <c r="R13" s="38"/>
      <c r="S13" s="38"/>
      <c r="T13" s="38"/>
      <c r="U13" s="38"/>
      <c r="V13" s="38"/>
      <c r="W13" s="38"/>
      <c r="X13" s="38"/>
      <c r="Y13" s="38"/>
    </row>
    <row r="14">
      <c r="A14" s="34">
        <v>10.0</v>
      </c>
      <c r="B14" s="100" t="s">
        <v>232</v>
      </c>
      <c r="C14" s="34" t="s">
        <v>740</v>
      </c>
      <c r="D14" s="34" t="s">
        <v>130</v>
      </c>
      <c r="E14" s="89" t="str">
        <f>HYPERLINK("https://shigen-town-tochigi--nakagawa-lg-jp.translate.goog/?bukken=jsearch&amp;_x_tr_sch=http&amp;_x_tr_sl=ja&amp;_x_tr_tl=en&amp;_x_tr_hl=en-GB", "Link to " &amp; "Tochigi Prefrecture : " &amp; $B14 &amp;" City")</f>
        <v>Link to Tochigi Prefrecture : Nakagawa City</v>
      </c>
      <c r="F14" s="36"/>
      <c r="G14" s="36"/>
      <c r="H14" s="36"/>
      <c r="I14" s="36"/>
      <c r="J14" s="34"/>
      <c r="K14" s="34"/>
      <c r="L14" s="34"/>
      <c r="M14" s="36"/>
      <c r="N14" s="37"/>
      <c r="O14" s="37"/>
      <c r="P14" s="37"/>
      <c r="Q14" s="37"/>
      <c r="R14" s="38"/>
      <c r="S14" s="38"/>
      <c r="T14" s="38"/>
      <c r="U14" s="38"/>
      <c r="V14" s="38"/>
      <c r="W14" s="38"/>
      <c r="X14" s="38"/>
      <c r="Y14" s="38"/>
    </row>
    <row r="15">
      <c r="A15" s="29">
        <v>11.0</v>
      </c>
      <c r="B15" s="101" t="s">
        <v>748</v>
      </c>
      <c r="C15" s="29" t="s">
        <v>740</v>
      </c>
      <c r="D15" s="29" t="s">
        <v>139</v>
      </c>
      <c r="E15" s="90" t="str">
        <f>HYPERLINK("https://www-town-nasu-lg-jp.translate.goog/0094/info-0000000011-1.html?_x_tr_sl=ja&amp;_x_tr_tl=en&amp;_x_tr_hl=en-GB", "Link to " &amp; "Tochigi Prefrecture : " &amp; $B15 &amp;" City")</f>
        <v>Link to Tochigi Prefrecture : Nasu City</v>
      </c>
      <c r="F15" s="31"/>
      <c r="G15" s="31"/>
      <c r="H15" s="31"/>
      <c r="I15" s="31"/>
      <c r="J15" s="29"/>
      <c r="K15" s="29"/>
      <c r="L15" s="29"/>
      <c r="M15" s="31"/>
      <c r="N15" s="32"/>
      <c r="O15" s="32"/>
      <c r="P15" s="32"/>
      <c r="Q15" s="32"/>
      <c r="R15" s="33"/>
      <c r="S15" s="33"/>
      <c r="T15" s="33"/>
      <c r="U15" s="33"/>
      <c r="V15" s="33"/>
      <c r="W15" s="33"/>
      <c r="X15" s="33"/>
      <c r="Y15" s="33"/>
    </row>
    <row r="16">
      <c r="A16" s="34">
        <v>12.0</v>
      </c>
      <c r="B16" s="100" t="s">
        <v>749</v>
      </c>
      <c r="C16" s="34" t="s">
        <v>740</v>
      </c>
      <c r="D16" s="34" t="s">
        <v>130</v>
      </c>
      <c r="E16" s="89" t="str">
        <f>HYPERLINK("https://www-city-nasukarasuyama-lg-jp.translate.goog/teiju/akiya.php?_x_tr_sl=ja&amp;_x_tr_tl=en&amp;_x_tr_hl=en-GB", "Link to " &amp; "Tochigi Prefrecture : " &amp; $B16 &amp;" City")</f>
        <v>Link to Tochigi Prefrecture : Nasukarasuyama City</v>
      </c>
      <c r="F16" s="36"/>
      <c r="G16" s="36"/>
      <c r="H16" s="36"/>
      <c r="I16" s="36"/>
      <c r="J16" s="34"/>
      <c r="K16" s="34"/>
      <c r="L16" s="34"/>
      <c r="M16" s="36"/>
      <c r="N16" s="37"/>
      <c r="O16" s="37"/>
      <c r="P16" s="37"/>
      <c r="Q16" s="37"/>
      <c r="R16" s="38"/>
      <c r="S16" s="38"/>
      <c r="T16" s="38"/>
      <c r="U16" s="38"/>
      <c r="V16" s="38"/>
      <c r="W16" s="38"/>
      <c r="X16" s="38"/>
      <c r="Y16" s="38"/>
    </row>
    <row r="17">
      <c r="A17" s="22">
        <v>13.0</v>
      </c>
      <c r="B17" s="99" t="s">
        <v>750</v>
      </c>
      <c r="C17" s="22" t="s">
        <v>740</v>
      </c>
      <c r="D17" s="22" t="s">
        <v>160</v>
      </c>
      <c r="E17" s="91" t="str">
        <f>HYPERLINK("https://www-city-nasushiobara-lg-jp.translate.goog/soshikikarasagasu/toshiseibika/sumai_kurashi/1/2/11518.html?_x_tr_sl=ja&amp;_x_tr_tl=en&amp;_x_tr_hl=en-GB", "Link to " &amp; "Tochigi Prefrecture : " &amp; $B17 &amp;" City")</f>
        <v>Link to Tochigi Prefrecture : Nasushiobara City</v>
      </c>
      <c r="F17" s="22"/>
      <c r="G17" s="23"/>
      <c r="H17" s="23"/>
      <c r="I17" s="23"/>
      <c r="J17" s="22"/>
      <c r="K17" s="22"/>
      <c r="L17" s="22"/>
      <c r="M17" s="23"/>
      <c r="N17" s="24"/>
      <c r="O17" s="24"/>
      <c r="P17" s="24"/>
      <c r="Q17" s="24"/>
      <c r="R17" s="25"/>
      <c r="S17" s="25"/>
      <c r="T17" s="25"/>
      <c r="U17" s="25"/>
      <c r="V17" s="25"/>
      <c r="W17" s="25"/>
      <c r="X17" s="25"/>
      <c r="Y17" s="25"/>
    </row>
    <row r="18">
      <c r="A18" s="22">
        <v>14.0</v>
      </c>
      <c r="B18" s="99" t="s">
        <v>751</v>
      </c>
      <c r="C18" s="22" t="s">
        <v>740</v>
      </c>
      <c r="D18" s="88" t="s">
        <v>203</v>
      </c>
      <c r="E18" s="91" t="str">
        <f>HYPERLINK("https://www-nikko--akiyabank-jp.translate.goog/akiya/?action=search&amp;_x_tr_sch=http&amp;_x_tr_sl=ja&amp;_x_tr_tl=en&amp;_x_tr_hl=en-GB", "Link to " &amp; "Tochigi Prefrecture : " &amp; $B18 &amp;" City")</f>
        <v>Link to Tochigi Prefrecture : Nikko City</v>
      </c>
      <c r="F18" s="23"/>
      <c r="G18" s="23"/>
      <c r="H18" s="23"/>
      <c r="I18" s="23"/>
      <c r="J18" s="22"/>
      <c r="K18" s="22"/>
      <c r="L18" s="22"/>
      <c r="M18" s="23"/>
      <c r="N18" s="24"/>
      <c r="O18" s="24"/>
      <c r="P18" s="24"/>
      <c r="Q18" s="24"/>
      <c r="R18" s="25"/>
      <c r="S18" s="25"/>
      <c r="T18" s="25"/>
      <c r="U18" s="25"/>
      <c r="V18" s="25"/>
      <c r="W18" s="25"/>
      <c r="X18" s="25"/>
      <c r="Y18" s="25"/>
    </row>
    <row r="19">
      <c r="A19" s="34">
        <v>15.0</v>
      </c>
      <c r="B19" s="100" t="s">
        <v>752</v>
      </c>
      <c r="C19" s="34" t="s">
        <v>740</v>
      </c>
      <c r="D19" s="93" t="s">
        <v>130</v>
      </c>
      <c r="E19" s="89" t="str">
        <f>HYPERLINK("https://www.town.nogi.lg.jp/ijyu/ijyu_live/live_bukken/page002135.html", "Link to " &amp; "Tochigi Prefrecture : " &amp; $B19 &amp;" City")</f>
        <v>Link to Tochigi Prefrecture : Nogi City</v>
      </c>
      <c r="F19" s="34"/>
      <c r="G19" s="36"/>
      <c r="H19" s="36"/>
      <c r="I19" s="36"/>
      <c r="J19" s="34"/>
      <c r="K19" s="34"/>
      <c r="L19" s="34"/>
      <c r="M19" s="36"/>
      <c r="N19" s="37"/>
      <c r="O19" s="37"/>
      <c r="P19" s="37"/>
      <c r="Q19" s="37"/>
      <c r="R19" s="38"/>
      <c r="S19" s="38"/>
      <c r="T19" s="38"/>
      <c r="U19" s="38"/>
      <c r="V19" s="38"/>
      <c r="W19" s="38"/>
      <c r="X19" s="38"/>
      <c r="Y19" s="38"/>
    </row>
    <row r="20">
      <c r="A20" s="29">
        <v>16.0</v>
      </c>
      <c r="B20" s="101" t="s">
        <v>451</v>
      </c>
      <c r="C20" s="29" t="s">
        <v>740</v>
      </c>
      <c r="D20" s="92" t="s">
        <v>139</v>
      </c>
      <c r="E20" s="90" t="str">
        <f>HYPERLINK("https://oyama--akiya-jp.translate.goog/property_type/buy/?_x_tr_sl=ja&amp;_x_tr_tl=en&amp;_x_tr_hl=en-GB", "Link to " &amp; "Tochigi Prefrecture : " &amp; $B20 &amp;" City")</f>
        <v>Link to Tochigi Prefrecture : Oyama City</v>
      </c>
      <c r="F20" s="29"/>
      <c r="G20" s="31"/>
      <c r="H20" s="31"/>
      <c r="I20" s="31"/>
      <c r="J20" s="29"/>
      <c r="K20" s="29"/>
      <c r="L20" s="29"/>
      <c r="M20" s="31"/>
      <c r="N20" s="32"/>
      <c r="O20" s="32"/>
      <c r="P20" s="32"/>
      <c r="Q20" s="32"/>
      <c r="R20" s="33"/>
      <c r="S20" s="33"/>
      <c r="T20" s="33"/>
      <c r="U20" s="33"/>
      <c r="V20" s="33"/>
      <c r="W20" s="33"/>
      <c r="X20" s="33"/>
      <c r="Y20" s="33"/>
    </row>
    <row r="21">
      <c r="A21" s="22">
        <v>17.0</v>
      </c>
      <c r="B21" s="99" t="s">
        <v>306</v>
      </c>
      <c r="C21" s="22" t="s">
        <v>740</v>
      </c>
      <c r="D21" s="22" t="s">
        <v>753</v>
      </c>
      <c r="E21" s="91" t="str">
        <f>HYPERLINK("https://sakura--ijyu-jp.translate.goog/akiya-bank/?bukken=jsearch&amp;_x_tr_sch=http&amp;_x_tr_sl=ja&amp;_x_tr_tl=en&amp;_x_tr_hl=en-GB", "Link to " &amp; "Tochigi Prefrecture : " &amp; $B21 &amp;" City")</f>
        <v>Link to Tochigi Prefrecture : Sakura City</v>
      </c>
      <c r="F21" s="22"/>
      <c r="G21" s="23"/>
      <c r="H21" s="23"/>
      <c r="I21" s="23"/>
      <c r="J21" s="22"/>
      <c r="K21" s="22"/>
      <c r="L21" s="22"/>
      <c r="M21" s="23"/>
      <c r="N21" s="24"/>
      <c r="O21" s="24"/>
      <c r="P21" s="24"/>
      <c r="Q21" s="24"/>
      <c r="R21" s="25"/>
      <c r="S21" s="25"/>
      <c r="T21" s="25"/>
      <c r="U21" s="25"/>
      <c r="V21" s="25"/>
      <c r="W21" s="25"/>
      <c r="X21" s="25"/>
      <c r="Y21" s="25"/>
    </row>
    <row r="22">
      <c r="A22" s="34">
        <v>18.0</v>
      </c>
      <c r="B22" s="100" t="s">
        <v>754</v>
      </c>
      <c r="C22" s="34" t="s">
        <v>740</v>
      </c>
      <c r="D22" s="93" t="s">
        <v>130</v>
      </c>
      <c r="E22" s="89" t="str">
        <f>HYPERLINK("https://www-city-sano-lg-jp.translate.goog/cgi-bin/recruit.php/2/list?_x_tr_sl=ja&amp;_x_tr_tl=en&amp;_x_tr_hl=en-GB", "Link to " &amp; "Tochigi Prefrecture : " &amp; $B22 &amp;" City")</f>
        <v>Link to Tochigi Prefrecture : Sano City</v>
      </c>
      <c r="F22" s="36"/>
      <c r="G22" s="36"/>
      <c r="H22" s="36"/>
      <c r="I22" s="36"/>
      <c r="J22" s="34"/>
      <c r="K22" s="34"/>
      <c r="L22" s="34"/>
      <c r="M22" s="36"/>
      <c r="N22" s="37"/>
      <c r="O22" s="37"/>
      <c r="P22" s="37"/>
      <c r="Q22" s="37"/>
      <c r="R22" s="38"/>
      <c r="S22" s="38"/>
      <c r="T22" s="38"/>
      <c r="U22" s="38"/>
      <c r="V22" s="38"/>
      <c r="W22" s="38"/>
      <c r="X22" s="38"/>
      <c r="Y22" s="38"/>
    </row>
    <row r="23">
      <c r="A23" s="34">
        <v>19.0</v>
      </c>
      <c r="B23" s="100" t="s">
        <v>755</v>
      </c>
      <c r="C23" s="34" t="s">
        <v>740</v>
      </c>
      <c r="D23" s="34" t="s">
        <v>130</v>
      </c>
      <c r="E23" s="89" t="str">
        <f>HYPERLINK("https://www-city-shimotsuke-lg-jp.translate.goog/0137/info-0000005806-3.html?_x_tr_sl=ja&amp;_x_tr_tl=en&amp;_x_tr_hl=en-GB", "Link to " &amp; "Tochigi Prefrecture : " &amp; $B23 &amp;" City")</f>
        <v>Link to Tochigi Prefrecture : Shimotsuke City</v>
      </c>
      <c r="F23" s="34"/>
      <c r="G23" s="36"/>
      <c r="H23" s="36"/>
      <c r="I23" s="36"/>
      <c r="J23" s="34"/>
      <c r="K23" s="34"/>
      <c r="L23" s="34"/>
      <c r="M23" s="36"/>
      <c r="N23" s="37"/>
      <c r="O23" s="37"/>
      <c r="P23" s="37"/>
      <c r="Q23" s="37"/>
      <c r="R23" s="38"/>
      <c r="S23" s="38"/>
      <c r="T23" s="38"/>
      <c r="U23" s="38"/>
      <c r="V23" s="38"/>
      <c r="W23" s="38"/>
      <c r="X23" s="38"/>
      <c r="Y23" s="38"/>
    </row>
    <row r="24">
      <c r="A24" s="22">
        <v>20.0</v>
      </c>
      <c r="B24" s="99" t="s">
        <v>756</v>
      </c>
      <c r="C24" s="22" t="s">
        <v>740</v>
      </c>
      <c r="D24" s="22" t="s">
        <v>757</v>
      </c>
      <c r="E24" s="91" t="str">
        <f>HYPERLINK("https://www-town-shioya-tochigi-jp.translate.goog/Info/1080?_x_tr_sl=ja&amp;_x_tr_tl=en&amp;_x_tr_hl=en-GB", "Link to " &amp; "Tochigi Prefrecture : " &amp; $B24 &amp;" City")</f>
        <v>Link to Tochigi Prefrecture : Shioya City</v>
      </c>
      <c r="F24" s="22"/>
      <c r="G24" s="23"/>
      <c r="H24" s="23"/>
      <c r="I24" s="23"/>
      <c r="J24" s="22"/>
      <c r="K24" s="22"/>
      <c r="L24" s="22"/>
      <c r="M24" s="23"/>
      <c r="N24" s="24"/>
      <c r="O24" s="24"/>
      <c r="P24" s="24"/>
      <c r="Q24" s="24"/>
      <c r="R24" s="25"/>
      <c r="S24" s="25"/>
      <c r="T24" s="25"/>
      <c r="U24" s="25"/>
      <c r="V24" s="25"/>
      <c r="W24" s="25"/>
      <c r="X24" s="25"/>
      <c r="Y24" s="25"/>
    </row>
    <row r="25">
      <c r="A25" s="22">
        <v>21.0</v>
      </c>
      <c r="B25" s="99" t="s">
        <v>758</v>
      </c>
      <c r="C25" s="22" t="s">
        <v>740</v>
      </c>
      <c r="D25" s="22" t="s">
        <v>742</v>
      </c>
      <c r="E25" s="91" t="str">
        <f>HYPERLINK("https://www-town-takanezawa-tochigi-jp.translate.goog/life/kankyo/sumai/2017-0330-2027-73.html?_x_tr_sl=ja&amp;_x_tr_tl=en&amp;_x_tr_hl=en-GB", "Link to " &amp; "Tochigi Prefrecture : " &amp; $B25 &amp;" City")</f>
        <v>Link to Tochigi Prefrecture : Takanezawa City</v>
      </c>
      <c r="F25" s="23"/>
      <c r="G25" s="22"/>
      <c r="H25" s="23"/>
      <c r="I25" s="23"/>
      <c r="J25" s="22"/>
      <c r="K25" s="22"/>
      <c r="L25" s="22"/>
      <c r="M25" s="23"/>
      <c r="N25" s="24"/>
      <c r="O25" s="24"/>
      <c r="P25" s="24"/>
      <c r="Q25" s="24"/>
      <c r="R25" s="25"/>
      <c r="S25" s="25"/>
      <c r="T25" s="25"/>
      <c r="U25" s="25"/>
      <c r="V25" s="25"/>
      <c r="W25" s="25"/>
      <c r="X25" s="25"/>
      <c r="Y25" s="25"/>
    </row>
    <row r="26">
      <c r="A26" s="34">
        <v>22.0</v>
      </c>
      <c r="B26" s="100" t="s">
        <v>736</v>
      </c>
      <c r="C26" s="34" t="s">
        <v>740</v>
      </c>
      <c r="D26" s="34" t="s">
        <v>130</v>
      </c>
      <c r="E26" s="89" t="str">
        <f>HYPERLINK("https://www-tochigi--akiya-jp.translate.goog/archive/?_x_tr_sl=ja&amp;_x_tr_tl=en&amp;_x_tr_hl=en-GB", "Link to " &amp; "Tochigi Prefrecture : " &amp; $B26 &amp;" City")</f>
        <v>Link to Tochigi Prefrecture : Tochigi City</v>
      </c>
      <c r="F26" s="36"/>
      <c r="G26" s="36"/>
      <c r="H26" s="36"/>
      <c r="I26" s="36"/>
      <c r="J26" s="34"/>
      <c r="K26" s="34"/>
      <c r="L26" s="34"/>
      <c r="M26" s="36"/>
      <c r="N26" s="37"/>
      <c r="O26" s="37"/>
      <c r="P26" s="37"/>
      <c r="Q26" s="37"/>
      <c r="R26" s="38"/>
      <c r="S26" s="38"/>
      <c r="T26" s="38"/>
      <c r="U26" s="38"/>
      <c r="V26" s="38"/>
      <c r="W26" s="38"/>
      <c r="X26" s="38"/>
      <c r="Y26" s="38"/>
    </row>
    <row r="27">
      <c r="A27" s="22">
        <v>23.0</v>
      </c>
      <c r="B27" s="99" t="s">
        <v>759</v>
      </c>
      <c r="C27" s="22" t="s">
        <v>740</v>
      </c>
      <c r="D27" s="22" t="s">
        <v>203</v>
      </c>
      <c r="E27" s="91" t="str">
        <f>HYPERLINK("https://www-akiya--kaigi-org.translate.goog/%E8%A4%87%E8%A3%BD-%E7%A9%BA%E3%81%8D%E5%AE%B6%E3%83%90%E3%83%B3%E3%82%AF?_x_tr_sl=ja&amp;_x_tr_tl=en&amp;_x_tr_hl=en-GB&amp;_x_tr_hist=true", "Link to " &amp; "Tochigi Prefrecture : " &amp; $B27 &amp;" City")</f>
        <v>Link to Tochigi Prefrecture : Utsunomiya City</v>
      </c>
      <c r="F27" s="23"/>
      <c r="G27" s="23"/>
      <c r="H27" s="23"/>
      <c r="I27" s="23"/>
      <c r="J27" s="22"/>
      <c r="K27" s="22"/>
      <c r="L27" s="22"/>
      <c r="M27" s="23"/>
      <c r="N27" s="24"/>
      <c r="O27" s="24"/>
      <c r="P27" s="24"/>
      <c r="Q27" s="24"/>
      <c r="R27" s="25"/>
      <c r="S27" s="25"/>
      <c r="T27" s="25"/>
      <c r="U27" s="25"/>
      <c r="V27" s="25"/>
      <c r="W27" s="25"/>
      <c r="X27" s="25"/>
      <c r="Y27" s="25"/>
    </row>
    <row r="28">
      <c r="A28" s="29">
        <v>24.0</v>
      </c>
      <c r="B28" s="101" t="s">
        <v>760</v>
      </c>
      <c r="C28" s="29" t="s">
        <v>740</v>
      </c>
      <c r="D28" s="29" t="s">
        <v>139</v>
      </c>
      <c r="E28" s="90" t="str">
        <f>HYPERLINK("https://www-city-yaita-tochigi-jp.translate.goog/site/akiya-bank/akiya-baibai.html?_x_tr_sl=ja&amp;_x_tr_tl=en&amp;_x_tr_hl=en-GB", "Link to " &amp; "Tochigi Prefrecture : " &amp; $B28 &amp;" City")</f>
        <v>Link to Tochigi Prefrecture : Yaita City</v>
      </c>
      <c r="F28" s="29"/>
      <c r="G28" s="31"/>
      <c r="H28" s="31"/>
      <c r="I28" s="31"/>
      <c r="J28" s="29"/>
      <c r="K28" s="29"/>
      <c r="L28" s="29"/>
      <c r="M28" s="31"/>
      <c r="N28" s="32"/>
      <c r="O28" s="32"/>
      <c r="P28" s="32"/>
      <c r="Q28" s="32"/>
      <c r="R28" s="33"/>
      <c r="S28" s="33"/>
      <c r="T28" s="33"/>
      <c r="U28" s="33"/>
      <c r="V28" s="33"/>
      <c r="W28" s="33"/>
      <c r="X28" s="33"/>
      <c r="Y28" s="33"/>
    </row>
    <row r="29">
      <c r="A29" s="29">
        <v>25.0</v>
      </c>
      <c r="B29" s="101" t="s">
        <v>761</v>
      </c>
      <c r="C29" s="29" t="s">
        <v>740</v>
      </c>
      <c r="D29" s="29" t="s">
        <v>139</v>
      </c>
      <c r="E29" s="90" t="str">
        <f>HYPERLINK("https://www-city-ohtawara-tochigi-jp.translate.goog/docs/2014092500025/?_x_tr_sl=ja&amp;_x_tr_tl=en&amp;_x_tr_hl=en-GB", "Link to " &amp; "Tochigi Prefrecture : " &amp; $B29 &amp;" City")</f>
        <v>Link to Tochigi Prefrecture : Otawara City</v>
      </c>
      <c r="F29" s="29"/>
      <c r="G29" s="31"/>
      <c r="H29" s="31"/>
      <c r="I29" s="31"/>
      <c r="J29" s="29"/>
      <c r="K29" s="29"/>
      <c r="L29" s="29"/>
      <c r="M29" s="31"/>
      <c r="N29" s="32"/>
      <c r="O29" s="32"/>
      <c r="P29" s="32"/>
      <c r="Q29" s="32"/>
      <c r="R29" s="33"/>
      <c r="S29" s="33"/>
      <c r="T29" s="33"/>
      <c r="U29" s="33"/>
      <c r="V29" s="33"/>
      <c r="W29" s="33"/>
      <c r="X29" s="33"/>
      <c r="Y29" s="33"/>
    </row>
    <row r="30">
      <c r="A30" s="3"/>
      <c r="B30" s="109"/>
      <c r="C30" s="3"/>
      <c r="D30" s="3"/>
      <c r="E30" s="10"/>
      <c r="F30" s="11"/>
      <c r="G30" s="11"/>
      <c r="H30" s="11"/>
      <c r="I30" s="11"/>
      <c r="J30" s="3"/>
      <c r="K30" s="3"/>
      <c r="L30" s="3"/>
      <c r="M30" s="11"/>
      <c r="N30" s="10"/>
      <c r="O30" s="10"/>
      <c r="P30" s="10"/>
      <c r="Q30" s="10"/>
    </row>
    <row r="31">
      <c r="A31" s="3"/>
      <c r="B31" s="96"/>
      <c r="C31" s="3"/>
      <c r="D31" s="3"/>
      <c r="E31" s="10"/>
      <c r="F31" s="3"/>
      <c r="G31" s="11"/>
      <c r="H31" s="11"/>
      <c r="I31" s="11"/>
      <c r="J31" s="3"/>
      <c r="K31" s="3"/>
      <c r="L31" s="3"/>
      <c r="M31" s="11"/>
      <c r="N31" s="11"/>
      <c r="O31" s="10"/>
      <c r="P31" s="10"/>
      <c r="Q31" s="10"/>
    </row>
    <row r="32">
      <c r="A32" s="3"/>
      <c r="B32" s="96"/>
      <c r="C32" s="3"/>
      <c r="D32" s="3"/>
      <c r="E32" s="10"/>
      <c r="F32" s="3"/>
      <c r="G32" s="11"/>
      <c r="H32" s="11"/>
      <c r="I32" s="11"/>
      <c r="J32" s="3"/>
      <c r="K32" s="3"/>
      <c r="L32" s="3"/>
      <c r="M32" s="11"/>
      <c r="N32" s="11"/>
      <c r="O32" s="10"/>
      <c r="P32" s="10"/>
      <c r="Q32" s="10"/>
    </row>
    <row r="33">
      <c r="A33" s="3"/>
      <c r="B33" s="96"/>
      <c r="C33" s="3"/>
      <c r="D33" s="97"/>
      <c r="E33" s="10"/>
      <c r="F33" s="11"/>
      <c r="G33" s="11"/>
      <c r="H33" s="11"/>
      <c r="I33" s="11"/>
      <c r="J33" s="3"/>
      <c r="K33" s="3"/>
      <c r="L33" s="3"/>
      <c r="M33" s="11"/>
      <c r="N33" s="11"/>
      <c r="O33" s="10"/>
      <c r="P33" s="10"/>
      <c r="Q33" s="10"/>
    </row>
    <row r="34">
      <c r="A34" s="3"/>
      <c r="B34" s="96"/>
      <c r="C34" s="3"/>
      <c r="D34" s="3"/>
      <c r="E34" s="10"/>
      <c r="F34" s="11"/>
      <c r="G34" s="11"/>
      <c r="H34" s="11"/>
      <c r="I34" s="11"/>
      <c r="J34" s="3"/>
      <c r="K34" s="3"/>
      <c r="L34" s="3"/>
      <c r="M34" s="11"/>
      <c r="N34" s="11"/>
      <c r="O34" s="10"/>
      <c r="P34" s="10"/>
      <c r="Q34" s="10"/>
    </row>
    <row r="35">
      <c r="A35" s="3"/>
      <c r="B35" s="96"/>
      <c r="C35" s="3"/>
      <c r="D35" s="97"/>
      <c r="E35" s="10"/>
      <c r="F35" s="11"/>
      <c r="G35" s="11"/>
      <c r="H35" s="11"/>
      <c r="I35" s="11"/>
      <c r="J35" s="3"/>
      <c r="K35" s="3"/>
      <c r="L35" s="3"/>
      <c r="M35" s="11"/>
      <c r="N35" s="11"/>
      <c r="O35" s="10"/>
      <c r="P35" s="10"/>
      <c r="Q35" s="10"/>
    </row>
    <row r="36">
      <c r="A36" s="3"/>
      <c r="B36" s="96"/>
      <c r="C36" s="3"/>
      <c r="D36" s="3"/>
      <c r="E36" s="10"/>
      <c r="F36" s="11"/>
      <c r="G36" s="11"/>
      <c r="H36" s="11"/>
      <c r="I36" s="11"/>
      <c r="J36" s="3"/>
      <c r="K36" s="3"/>
      <c r="L36" s="3"/>
      <c r="M36" s="11"/>
      <c r="N36" s="11"/>
      <c r="O36" s="10"/>
      <c r="P36" s="10"/>
      <c r="Q36" s="10"/>
    </row>
    <row r="37">
      <c r="A37" s="3"/>
      <c r="B37" s="96"/>
      <c r="C37" s="3"/>
      <c r="D37" s="3"/>
      <c r="E37" s="10"/>
      <c r="F37" s="11"/>
      <c r="G37" s="11"/>
      <c r="H37" s="11"/>
      <c r="I37" s="11"/>
      <c r="J37" s="3"/>
      <c r="K37" s="3"/>
      <c r="L37" s="3"/>
      <c r="M37" s="11"/>
      <c r="N37" s="11"/>
      <c r="O37" s="10"/>
      <c r="P37" s="10"/>
      <c r="Q37" s="10"/>
    </row>
    <row r="38">
      <c r="A38" s="3"/>
      <c r="B38" s="96"/>
      <c r="C38" s="3"/>
      <c r="D38" s="3"/>
      <c r="E38" s="10"/>
      <c r="F38" s="11"/>
      <c r="G38" s="11"/>
      <c r="H38" s="11"/>
      <c r="I38" s="11"/>
      <c r="J38" s="3"/>
      <c r="K38" s="3"/>
      <c r="L38" s="3"/>
      <c r="M38" s="11"/>
      <c r="N38" s="11"/>
      <c r="O38" s="10"/>
      <c r="P38" s="10"/>
      <c r="Q38" s="10"/>
    </row>
    <row r="39">
      <c r="A39" s="3"/>
      <c r="B39" s="96"/>
      <c r="C39" s="3"/>
      <c r="D39" s="3"/>
      <c r="E39" s="10"/>
      <c r="F39" s="11"/>
      <c r="G39" s="11"/>
      <c r="H39" s="11"/>
      <c r="I39" s="11"/>
      <c r="J39" s="3"/>
      <c r="K39" s="3"/>
      <c r="L39" s="3"/>
      <c r="M39" s="11"/>
      <c r="N39" s="11"/>
      <c r="O39" s="10"/>
      <c r="P39" s="10"/>
      <c r="Q39" s="10"/>
    </row>
    <row r="40">
      <c r="A40" s="3"/>
      <c r="B40" s="96"/>
      <c r="C40" s="3"/>
      <c r="D40" s="3"/>
      <c r="E40" s="10"/>
      <c r="F40" s="11"/>
      <c r="G40" s="11"/>
      <c r="H40" s="11"/>
      <c r="I40" s="11"/>
      <c r="J40" s="3"/>
      <c r="K40" s="3"/>
      <c r="L40" s="3"/>
      <c r="M40" s="11"/>
      <c r="N40" s="11"/>
      <c r="O40" s="10"/>
      <c r="P40" s="10"/>
      <c r="Q40" s="10"/>
    </row>
    <row r="41">
      <c r="A41" s="3"/>
      <c r="B41" s="96"/>
      <c r="C41" s="3"/>
      <c r="D41" s="3"/>
      <c r="E41" s="10"/>
      <c r="F41" s="11"/>
      <c r="G41" s="11"/>
      <c r="H41" s="11"/>
      <c r="I41" s="11"/>
      <c r="J41" s="3"/>
      <c r="K41" s="3"/>
      <c r="L41" s="3"/>
      <c r="M41" s="11"/>
      <c r="N41" s="11"/>
    </row>
    <row r="42">
      <c r="A42" s="3"/>
      <c r="B42" s="96"/>
      <c r="C42" s="3"/>
      <c r="D42" s="3"/>
      <c r="E42" s="10"/>
      <c r="F42" s="11"/>
      <c r="G42" s="11"/>
      <c r="H42" s="11"/>
      <c r="I42" s="11"/>
      <c r="J42" s="3"/>
      <c r="K42" s="3"/>
      <c r="L42" s="3"/>
      <c r="M42" s="11"/>
      <c r="N42" s="11"/>
    </row>
    <row r="43">
      <c r="A43" s="3"/>
      <c r="B43" s="96"/>
      <c r="C43" s="3"/>
      <c r="D43" s="3"/>
      <c r="E43" s="10"/>
      <c r="F43" s="11"/>
      <c r="G43" s="11"/>
      <c r="H43" s="11"/>
      <c r="I43" s="11"/>
      <c r="J43" s="3"/>
      <c r="K43" s="3"/>
      <c r="L43" s="3"/>
      <c r="M43" s="11"/>
      <c r="N43" s="11"/>
    </row>
    <row r="44">
      <c r="A44" s="3"/>
      <c r="B44" s="96"/>
      <c r="C44" s="3"/>
      <c r="D44" s="3"/>
      <c r="E44" s="10"/>
      <c r="F44" s="11"/>
      <c r="G44" s="11"/>
      <c r="H44" s="11"/>
      <c r="I44" s="11"/>
      <c r="J44" s="3"/>
      <c r="K44" s="3"/>
      <c r="L44" s="3"/>
      <c r="M44" s="11"/>
      <c r="N44" s="11"/>
    </row>
    <row r="45">
      <c r="A45" s="3"/>
      <c r="B45" s="96"/>
      <c r="C45" s="3"/>
      <c r="D45" s="3"/>
      <c r="E45" s="10"/>
      <c r="F45" s="11"/>
      <c r="G45" s="11"/>
      <c r="H45" s="11"/>
      <c r="I45" s="11"/>
      <c r="J45" s="3"/>
      <c r="K45" s="3"/>
      <c r="L45" s="3"/>
      <c r="M45" s="11"/>
      <c r="N45" s="11"/>
    </row>
    <row r="46">
      <c r="A46" s="3"/>
      <c r="B46" s="10"/>
      <c r="C46" s="3"/>
      <c r="D46" s="3"/>
      <c r="E46" s="10"/>
      <c r="F46" s="11"/>
      <c r="G46" s="11"/>
      <c r="H46" s="11"/>
      <c r="I46" s="11"/>
      <c r="J46" s="3"/>
      <c r="K46" s="3"/>
      <c r="L46" s="3"/>
      <c r="M46" s="11"/>
      <c r="N46" s="11"/>
    </row>
    <row r="47">
      <c r="A47" s="3"/>
      <c r="B47" s="10"/>
      <c r="C47" s="3"/>
      <c r="D47" s="3"/>
      <c r="E47" s="10"/>
      <c r="F47" s="11"/>
      <c r="G47" s="11"/>
      <c r="H47" s="11"/>
      <c r="I47" s="11"/>
      <c r="J47" s="3"/>
      <c r="K47" s="3"/>
      <c r="L47" s="3"/>
      <c r="M47" s="11"/>
      <c r="N47" s="11"/>
    </row>
    <row r="48">
      <c r="A48" s="3"/>
      <c r="B48" s="10"/>
      <c r="C48" s="3"/>
      <c r="D48" s="3"/>
      <c r="E48" s="10"/>
      <c r="F48" s="11"/>
      <c r="G48" s="11"/>
      <c r="H48" s="11"/>
      <c r="I48" s="11"/>
      <c r="J48" s="3"/>
      <c r="K48" s="3"/>
      <c r="L48" s="3"/>
      <c r="M48" s="11"/>
      <c r="N48" s="11"/>
    </row>
    <row r="49">
      <c r="A49" s="3"/>
      <c r="B49" s="10"/>
      <c r="C49" s="3"/>
      <c r="D49" s="3"/>
      <c r="E49" s="10"/>
      <c r="F49" s="11"/>
      <c r="G49" s="11"/>
      <c r="H49" s="11"/>
      <c r="I49" s="11"/>
      <c r="J49" s="3"/>
      <c r="K49" s="3"/>
      <c r="L49" s="3"/>
      <c r="M49" s="11"/>
      <c r="N49" s="11"/>
    </row>
    <row r="50">
      <c r="A50" s="3"/>
      <c r="B50" s="10"/>
      <c r="C50" s="3"/>
      <c r="D50" s="3"/>
      <c r="E50" s="10"/>
      <c r="F50" s="11"/>
      <c r="G50" s="11"/>
      <c r="H50" s="11"/>
      <c r="I50" s="11"/>
      <c r="J50" s="3"/>
      <c r="K50" s="3"/>
      <c r="L50" s="3"/>
      <c r="M50" s="11"/>
      <c r="N50" s="11"/>
    </row>
    <row r="51">
      <c r="A51" s="3"/>
      <c r="B51" s="10"/>
      <c r="C51" s="3"/>
      <c r="D51" s="3"/>
      <c r="E51" s="10"/>
      <c r="F51" s="11"/>
      <c r="G51" s="11"/>
      <c r="H51" s="11"/>
      <c r="I51" s="11"/>
      <c r="J51" s="3"/>
      <c r="K51" s="3"/>
      <c r="L51" s="3"/>
      <c r="M51" s="11"/>
      <c r="N51" s="11"/>
    </row>
    <row r="52">
      <c r="A52" s="3"/>
      <c r="B52" s="10"/>
      <c r="C52" s="3"/>
      <c r="D52" s="3"/>
      <c r="E52" s="10"/>
      <c r="F52" s="11"/>
      <c r="G52" s="11"/>
      <c r="H52" s="11"/>
      <c r="I52" s="11"/>
      <c r="J52" s="3"/>
      <c r="K52" s="3"/>
      <c r="L52" s="3"/>
      <c r="M52" s="11"/>
      <c r="N52" s="11"/>
    </row>
    <row r="53">
      <c r="A53" s="3"/>
      <c r="B53" s="10"/>
      <c r="C53" s="3"/>
      <c r="D53" s="3"/>
      <c r="E53" s="10"/>
      <c r="F53" s="11"/>
      <c r="G53" s="11"/>
      <c r="H53" s="11"/>
      <c r="I53" s="11"/>
      <c r="J53" s="3"/>
      <c r="K53" s="3"/>
      <c r="L53" s="3"/>
      <c r="M53" s="11"/>
      <c r="N53" s="11"/>
    </row>
    <row r="54">
      <c r="A54" s="3"/>
      <c r="B54" s="10"/>
      <c r="C54" s="3"/>
      <c r="D54" s="3"/>
      <c r="E54" s="10"/>
      <c r="F54" s="11"/>
      <c r="G54" s="11"/>
      <c r="H54" s="11"/>
      <c r="I54" s="11"/>
      <c r="J54" s="3"/>
      <c r="K54" s="3"/>
      <c r="L54" s="3"/>
      <c r="M54" s="11"/>
      <c r="N54" s="11"/>
    </row>
    <row r="55">
      <c r="A55" s="3"/>
      <c r="B55" s="10"/>
      <c r="C55" s="3"/>
      <c r="D55" s="3"/>
      <c r="E55" s="10"/>
      <c r="F55" s="11"/>
      <c r="G55" s="11"/>
      <c r="H55" s="11"/>
      <c r="I55" s="11"/>
      <c r="J55" s="3"/>
      <c r="K55" s="3"/>
      <c r="L55" s="3"/>
      <c r="M55" s="11"/>
      <c r="N55" s="11"/>
    </row>
    <row r="56">
      <c r="A56" s="3"/>
      <c r="B56" s="10"/>
      <c r="C56" s="3"/>
      <c r="D56" s="3"/>
      <c r="E56" s="10"/>
      <c r="F56" s="11"/>
      <c r="G56" s="11"/>
      <c r="H56" s="11"/>
      <c r="I56" s="11"/>
      <c r="J56" s="3"/>
      <c r="K56" s="3"/>
      <c r="L56" s="3"/>
      <c r="M56" s="11"/>
      <c r="N56" s="11"/>
    </row>
    <row r="57">
      <c r="A57" s="3"/>
      <c r="B57" s="10"/>
      <c r="C57" s="3"/>
      <c r="D57" s="3"/>
      <c r="E57" s="10"/>
      <c r="F57" s="11"/>
      <c r="G57" s="11"/>
      <c r="H57" s="11"/>
      <c r="I57" s="11"/>
      <c r="J57" s="3"/>
      <c r="K57" s="3"/>
      <c r="L57" s="3"/>
      <c r="M57" s="11"/>
      <c r="N57" s="11"/>
    </row>
    <row r="58">
      <c r="A58" s="3"/>
      <c r="B58" s="10"/>
      <c r="C58" s="3"/>
      <c r="D58" s="3"/>
      <c r="E58" s="10"/>
      <c r="F58" s="11"/>
      <c r="G58" s="11"/>
      <c r="H58" s="11"/>
      <c r="I58" s="11"/>
      <c r="J58" s="3"/>
      <c r="K58" s="3"/>
      <c r="L58" s="3"/>
      <c r="M58" s="11"/>
      <c r="N58" s="11"/>
    </row>
    <row r="59">
      <c r="A59" s="3"/>
      <c r="B59" s="10"/>
      <c r="C59" s="3"/>
      <c r="D59" s="3"/>
      <c r="E59" s="10"/>
      <c r="F59" s="11"/>
      <c r="G59" s="11"/>
      <c r="H59" s="11"/>
      <c r="I59" s="11"/>
      <c r="J59" s="3"/>
      <c r="K59" s="3"/>
      <c r="L59" s="3"/>
      <c r="M59" s="11"/>
      <c r="N59" s="11"/>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13"/>
    <col customWidth="1" min="3" max="3" width="17.38"/>
    <col customWidth="1" min="4" max="4" width="26.88"/>
    <col customWidth="1" min="5" max="5" width="39.88"/>
    <col customWidth="1" min="6" max="6" width="18.25"/>
  </cols>
  <sheetData>
    <row r="2">
      <c r="A2" s="2" t="s">
        <v>762</v>
      </c>
      <c r="B2" s="2" t="s">
        <v>259</v>
      </c>
    </row>
    <row r="3">
      <c r="F3" s="3" t="s">
        <v>2</v>
      </c>
      <c r="G3" s="62"/>
    </row>
    <row r="4">
      <c r="A4" s="4" t="s">
        <v>3</v>
      </c>
      <c r="B4" s="4" t="s">
        <v>4</v>
      </c>
      <c r="C4" s="4" t="s">
        <v>5</v>
      </c>
      <c r="D4" s="4" t="s">
        <v>6</v>
      </c>
      <c r="E4" s="4" t="s">
        <v>7</v>
      </c>
      <c r="F4" s="6">
        <v>45323.0</v>
      </c>
      <c r="G4" s="6">
        <v>45352.0</v>
      </c>
      <c r="H4" s="6">
        <v>45383.0</v>
      </c>
      <c r="I4" s="6">
        <v>45413.0</v>
      </c>
      <c r="J4" s="6">
        <v>45444.0</v>
      </c>
      <c r="K4" s="6">
        <v>45474.0</v>
      </c>
      <c r="L4" s="9">
        <v>45505.0</v>
      </c>
      <c r="M4" s="11"/>
      <c r="N4" s="10"/>
      <c r="O4" s="10"/>
      <c r="P4" s="10"/>
      <c r="Q4" s="10"/>
    </row>
    <row r="5">
      <c r="A5" s="22">
        <v>1.0</v>
      </c>
      <c r="B5" s="110" t="s">
        <v>763</v>
      </c>
      <c r="C5" s="22" t="s">
        <v>463</v>
      </c>
      <c r="D5" s="88" t="s">
        <v>173</v>
      </c>
      <c r="E5" s="91" t="str">
        <f>HYPERLINK("https://www.akiyabanks.com/error", "Link to " &amp; "Tochigi Prefrecture : " &amp; $B5 &amp;" City")</f>
        <v>Link to Tochigi Prefrecture : Anpachi City</v>
      </c>
      <c r="F5" s="22"/>
      <c r="G5" s="23"/>
      <c r="H5" s="23"/>
      <c r="I5" s="23"/>
      <c r="J5" s="22"/>
      <c r="K5" s="22"/>
      <c r="L5" s="22"/>
      <c r="M5" s="23"/>
      <c r="N5" s="24"/>
      <c r="O5" s="24"/>
      <c r="P5" s="24"/>
      <c r="Q5" s="24"/>
      <c r="R5" s="25"/>
      <c r="S5" s="25"/>
      <c r="T5" s="25"/>
      <c r="U5" s="25"/>
      <c r="V5" s="25"/>
      <c r="W5" s="25"/>
      <c r="X5" s="25"/>
      <c r="Y5" s="25"/>
    </row>
    <row r="6">
      <c r="A6" s="29">
        <f t="shared" ref="A6:A46" si="1">$A5+1</f>
        <v>2</v>
      </c>
      <c r="B6" s="101" t="s">
        <v>764</v>
      </c>
      <c r="C6" s="29" t="s">
        <v>375</v>
      </c>
      <c r="D6" s="29" t="s">
        <v>162</v>
      </c>
      <c r="E6" s="90" t="str">
        <f>HYPERLINK("https://kurashi-enalifebizsupport-jp.translate.goog/akiyabank/?_x_tr_sl=ja&amp;_x_tr_tl=en&amp;_x_tr_hl=en-GB", "Link to " &amp; "Tochigi Prefrecture : " &amp; $B6 &amp;" City")</f>
        <v>Link to Tochigi Prefrecture : Ena City</v>
      </c>
      <c r="F6" s="29"/>
      <c r="G6" s="31"/>
      <c r="H6" s="31"/>
      <c r="I6" s="31"/>
      <c r="J6" s="29"/>
      <c r="K6" s="29"/>
      <c r="L6" s="29"/>
      <c r="M6" s="31"/>
      <c r="N6" s="32"/>
      <c r="O6" s="32"/>
      <c r="P6" s="32"/>
      <c r="Q6" s="32"/>
      <c r="R6" s="33"/>
      <c r="S6" s="33"/>
      <c r="T6" s="33"/>
      <c r="U6" s="33"/>
      <c r="V6" s="33"/>
      <c r="W6" s="33"/>
      <c r="X6" s="33"/>
      <c r="Y6" s="33"/>
    </row>
    <row r="7">
      <c r="A7" s="22">
        <f t="shared" si="1"/>
        <v>3</v>
      </c>
      <c r="B7" s="99" t="s">
        <v>765</v>
      </c>
      <c r="C7" s="22" t="s">
        <v>375</v>
      </c>
      <c r="D7" s="22" t="s">
        <v>173</v>
      </c>
      <c r="E7" s="91" t="str">
        <f>HYPERLINK("https://www-city-gero-lg-jp.translate.goog/site/ijyu-teijyu/list10.html?_x_tr_sl=ja&amp;_x_tr_tl=en&amp;_x_tr_hl=en-GB", "Link to " &amp; "Tochigi Prefrecture : " &amp; $B7 &amp;" City")</f>
        <v>Link to Tochigi Prefrecture : Gero City</v>
      </c>
      <c r="F7" s="22"/>
      <c r="G7" s="23"/>
      <c r="H7" s="23"/>
      <c r="I7" s="23"/>
      <c r="J7" s="22"/>
      <c r="K7" s="22"/>
      <c r="L7" s="22"/>
      <c r="M7" s="23"/>
      <c r="N7" s="24"/>
      <c r="O7" s="24"/>
      <c r="P7" s="24"/>
      <c r="Q7" s="24"/>
      <c r="R7" s="25"/>
      <c r="S7" s="25"/>
      <c r="T7" s="25"/>
      <c r="U7" s="25"/>
      <c r="V7" s="25"/>
      <c r="W7" s="25"/>
      <c r="X7" s="25"/>
      <c r="Y7" s="25"/>
    </row>
    <row r="8">
      <c r="A8" s="22">
        <f t="shared" si="1"/>
        <v>4</v>
      </c>
      <c r="B8" s="99" t="s">
        <v>762</v>
      </c>
      <c r="C8" s="22" t="s">
        <v>463</v>
      </c>
      <c r="D8" s="22" t="s">
        <v>173</v>
      </c>
      <c r="E8" s="91" t="str">
        <f t="shared" ref="E8:E9" si="2">HYPERLINK("https://www.akiyabanks.com/error", "Link to " &amp; "Tochigi Prefrecture : " &amp; $B8 &amp;" City")</f>
        <v>Link to Tochigi Prefrecture : Gifu City</v>
      </c>
      <c r="F8" s="22"/>
      <c r="G8" s="23"/>
      <c r="H8" s="23"/>
      <c r="I8" s="23"/>
      <c r="J8" s="22"/>
      <c r="K8" s="22"/>
      <c r="L8" s="22"/>
      <c r="M8" s="23"/>
      <c r="N8" s="24"/>
      <c r="O8" s="24"/>
      <c r="P8" s="24"/>
      <c r="Q8" s="24"/>
      <c r="R8" s="25"/>
      <c r="S8" s="25"/>
      <c r="T8" s="25"/>
      <c r="U8" s="25"/>
      <c r="V8" s="25"/>
      <c r="W8" s="25"/>
      <c r="X8" s="25"/>
      <c r="Y8" s="25"/>
    </row>
    <row r="9">
      <c r="A9" s="22">
        <f t="shared" si="1"/>
        <v>5</v>
      </c>
      <c r="B9" s="22" t="s">
        <v>766</v>
      </c>
      <c r="C9" s="22" t="s">
        <v>463</v>
      </c>
      <c r="D9" s="22" t="s">
        <v>173</v>
      </c>
      <c r="E9" s="91" t="str">
        <f t="shared" si="2"/>
        <v>Link to Tochigi Prefrecture : Ginan City</v>
      </c>
      <c r="F9" s="22"/>
      <c r="G9" s="23"/>
      <c r="H9" s="23"/>
      <c r="I9" s="23"/>
      <c r="J9" s="22"/>
      <c r="K9" s="22"/>
      <c r="L9" s="22"/>
      <c r="M9" s="23"/>
      <c r="N9" s="24"/>
      <c r="O9" s="24"/>
      <c r="P9" s="24"/>
      <c r="Q9" s="24"/>
      <c r="R9" s="25"/>
      <c r="S9" s="25"/>
      <c r="T9" s="25"/>
      <c r="U9" s="25"/>
      <c r="V9" s="25"/>
      <c r="W9" s="25"/>
      <c r="X9" s="25"/>
      <c r="Y9" s="25"/>
    </row>
    <row r="10">
      <c r="A10" s="34">
        <f t="shared" si="1"/>
        <v>6</v>
      </c>
      <c r="B10" s="100" t="s">
        <v>767</v>
      </c>
      <c r="C10" s="34" t="s">
        <v>375</v>
      </c>
      <c r="D10" s="93" t="s">
        <v>130</v>
      </c>
      <c r="E10" s="89" t="str">
        <f>HYPERLINK("https://www-city-gujo-gifu-jp.translate.goog/life/detail/3-12.html?_x_tr_sl=ja&amp;_x_tr_tl=en&amp;_x_tr_hl=en-GB", "Link to " &amp; "Tochigi Prefrecture : " &amp; $B10 &amp;" City")</f>
        <v>Link to Tochigi Prefrecture : Gujō City</v>
      </c>
      <c r="F10" s="36"/>
      <c r="G10" s="36"/>
      <c r="H10" s="36"/>
      <c r="I10" s="36"/>
      <c r="J10" s="34"/>
      <c r="K10" s="34"/>
      <c r="L10" s="34"/>
      <c r="M10" s="36"/>
      <c r="N10" s="37"/>
      <c r="O10" s="37"/>
      <c r="P10" s="37"/>
      <c r="Q10" s="37"/>
      <c r="R10" s="38"/>
      <c r="S10" s="38"/>
      <c r="T10" s="38"/>
      <c r="U10" s="38"/>
      <c r="V10" s="38"/>
      <c r="W10" s="38"/>
      <c r="X10" s="38"/>
      <c r="Y10" s="38"/>
    </row>
    <row r="11">
      <c r="A11" s="34">
        <f t="shared" si="1"/>
        <v>7</v>
      </c>
      <c r="B11" s="100" t="s">
        <v>768</v>
      </c>
      <c r="C11" s="34" t="s">
        <v>375</v>
      </c>
      <c r="D11" s="34" t="s">
        <v>130</v>
      </c>
      <c r="E11" s="89" t="str">
        <f>HYPERLINK("https://www-godo--akiya-jp.translate.goog/search.html?_x_tr_sl=ja&amp;_x_tr_tl=en&amp;_x_tr_hl=en-GB", "Link to " &amp; "Tochigi Prefrecture : " &amp; $B11 &amp;" City")</f>
        <v>Link to Tochigi Prefrecture : Gōdo City</v>
      </c>
      <c r="F11" s="36"/>
      <c r="G11" s="36"/>
      <c r="H11" s="36"/>
      <c r="I11" s="36"/>
      <c r="J11" s="34"/>
      <c r="K11" s="34"/>
      <c r="L11" s="34"/>
      <c r="M11" s="36"/>
      <c r="N11" s="37"/>
      <c r="O11" s="37"/>
      <c r="P11" s="37"/>
      <c r="Q11" s="37"/>
      <c r="R11" s="38"/>
      <c r="S11" s="38"/>
      <c r="T11" s="38"/>
      <c r="U11" s="38"/>
      <c r="V11" s="38"/>
      <c r="W11" s="38"/>
      <c r="X11" s="38"/>
      <c r="Y11" s="38"/>
    </row>
    <row r="12">
      <c r="A12" s="22">
        <f t="shared" si="1"/>
        <v>8</v>
      </c>
      <c r="B12" s="99" t="s">
        <v>769</v>
      </c>
      <c r="C12" s="22" t="s">
        <v>463</v>
      </c>
      <c r="D12" s="22" t="s">
        <v>173</v>
      </c>
      <c r="E12" s="91" t="str">
        <f>HYPERLINK("https://www.akiyabanks.com/error", "Link to " &amp; "Tochigi Prefrecture : " &amp; $B12 &amp;" City")</f>
        <v>Link to Tochigi Prefrecture : Hashima City</v>
      </c>
      <c r="F12" s="22"/>
      <c r="G12" s="23"/>
      <c r="H12" s="23"/>
      <c r="I12" s="23"/>
      <c r="J12" s="22"/>
      <c r="K12" s="22"/>
      <c r="L12" s="22"/>
      <c r="M12" s="23"/>
      <c r="N12" s="24"/>
      <c r="O12" s="24"/>
      <c r="P12" s="24"/>
      <c r="Q12" s="24"/>
      <c r="R12" s="25"/>
      <c r="S12" s="25"/>
      <c r="T12" s="25"/>
      <c r="U12" s="25"/>
      <c r="V12" s="25"/>
      <c r="W12" s="25"/>
      <c r="X12" s="25"/>
      <c r="Y12" s="25"/>
    </row>
    <row r="13">
      <c r="A13" s="22">
        <f t="shared" si="1"/>
        <v>9</v>
      </c>
      <c r="B13" s="99" t="s">
        <v>770</v>
      </c>
      <c r="C13" s="22" t="s">
        <v>375</v>
      </c>
      <c r="D13" s="22" t="s">
        <v>173</v>
      </c>
      <c r="E13" s="91" t="str">
        <f>HYPERLINK("https://www-hichiso-jp.translate.goog/top/kanko/settled/bank/info/?_x_tr_sl=ja&amp;_x_tr_tl=en&amp;_x_tr_hl=en-GB", "Link to " &amp; "Tochigi Prefrecture : " &amp; $B13 &amp;" City")</f>
        <v>Link to Tochigi Prefrecture : Hichisō City</v>
      </c>
      <c r="F13" s="23"/>
      <c r="G13" s="23"/>
      <c r="H13" s="23"/>
      <c r="I13" s="23"/>
      <c r="J13" s="22"/>
      <c r="K13" s="22"/>
      <c r="L13" s="22"/>
      <c r="M13" s="23"/>
      <c r="N13" s="24"/>
      <c r="O13" s="24"/>
      <c r="P13" s="24"/>
      <c r="Q13" s="24"/>
      <c r="R13" s="25"/>
      <c r="S13" s="25"/>
      <c r="T13" s="25"/>
      <c r="U13" s="25"/>
      <c r="V13" s="25"/>
      <c r="W13" s="25"/>
      <c r="X13" s="25"/>
      <c r="Y13" s="25"/>
    </row>
    <row r="14">
      <c r="A14" s="34">
        <f t="shared" si="1"/>
        <v>10</v>
      </c>
      <c r="B14" s="100" t="s">
        <v>771</v>
      </c>
      <c r="C14" s="34" t="s">
        <v>375</v>
      </c>
      <c r="D14" s="34" t="s">
        <v>130</v>
      </c>
      <c r="E14" s="89" t="str">
        <f>HYPERLINK("https://www-city--hida-jp.translate.goog/sumutoko-net/bukken/for/sell/?_x_tr_sl=ja&amp;_x_tr_tl=en&amp;_x_tr_hl=en-GB", "Link to " &amp; "Tochigi Prefrecture : " &amp; $B14 &amp;" City")</f>
        <v>Link to Tochigi Prefrecture : Hida City</v>
      </c>
      <c r="F14" s="36"/>
      <c r="G14" s="36"/>
      <c r="H14" s="36"/>
      <c r="I14" s="36"/>
      <c r="J14" s="34"/>
      <c r="K14" s="34"/>
      <c r="L14" s="34"/>
      <c r="M14" s="36"/>
      <c r="N14" s="37"/>
      <c r="O14" s="37"/>
      <c r="P14" s="37"/>
      <c r="Q14" s="37"/>
      <c r="R14" s="38"/>
      <c r="S14" s="38"/>
      <c r="T14" s="38"/>
      <c r="U14" s="38"/>
      <c r="V14" s="38"/>
      <c r="W14" s="38"/>
      <c r="X14" s="38"/>
      <c r="Y14" s="38"/>
    </row>
    <row r="15">
      <c r="A15" s="34">
        <f t="shared" si="1"/>
        <v>11</v>
      </c>
      <c r="B15" s="100" t="s">
        <v>772</v>
      </c>
      <c r="C15" s="34" t="s">
        <v>375</v>
      </c>
      <c r="D15" s="34" t="s">
        <v>130</v>
      </c>
      <c r="E15" s="89" t="str">
        <f>HYPERLINK("https://www-vill-higashishirakawa-gifu-jp.translate.goog/kurashi/sumai/akiya/bukken/?fbclid=IwAR13y77Ca11V3zD6nHTi1_I02toHUkSx56SZpVgKrzX3QFopwGZIiKNZGfM&amp;_x_tr_sl=ja&amp;_x_tr_tl=en&amp;_x_tr_hl=en-GB#moku4", "Link to " &amp; "Tochigi Prefrecture : " &amp; $B15 &amp;" City")</f>
        <v>Link to Tochigi Prefrecture : Higashishirakawa City</v>
      </c>
      <c r="F15" s="36"/>
      <c r="G15" s="36"/>
      <c r="H15" s="36"/>
      <c r="I15" s="36"/>
      <c r="J15" s="34"/>
      <c r="K15" s="34"/>
      <c r="L15" s="34"/>
      <c r="M15" s="36"/>
      <c r="N15" s="37"/>
      <c r="O15" s="37"/>
      <c r="P15" s="37"/>
      <c r="Q15" s="37"/>
      <c r="R15" s="38"/>
      <c r="S15" s="38"/>
      <c r="T15" s="38"/>
      <c r="U15" s="38"/>
      <c r="V15" s="38"/>
      <c r="W15" s="38"/>
      <c r="X15" s="38"/>
      <c r="Y15" s="38"/>
    </row>
    <row r="16">
      <c r="A16" s="29">
        <f t="shared" si="1"/>
        <v>12</v>
      </c>
      <c r="B16" s="101" t="s">
        <v>773</v>
      </c>
      <c r="C16" s="29" t="s">
        <v>375</v>
      </c>
      <c r="D16" s="29" t="s">
        <v>162</v>
      </c>
      <c r="E16" s="90" t="str">
        <f>HYPERLINK("https://www-town-ibigawa-lg-jp.translate.goog/0000007177.html?_x_tr_sl=ja&amp;_x_tr_tl=en&amp;_x_tr_hl=en-GB", "Link to " &amp; "Tochigi Prefrecture : " &amp; $B16 &amp;" City")</f>
        <v>Link to Tochigi Prefrecture : Ibigawa City</v>
      </c>
      <c r="F16" s="31"/>
      <c r="G16" s="31"/>
      <c r="H16" s="31"/>
      <c r="I16" s="31"/>
      <c r="J16" s="29"/>
      <c r="K16" s="29"/>
      <c r="L16" s="29"/>
      <c r="M16" s="31"/>
      <c r="N16" s="32"/>
      <c r="O16" s="32"/>
      <c r="P16" s="32"/>
      <c r="Q16" s="32"/>
      <c r="R16" s="33"/>
      <c r="S16" s="33"/>
      <c r="T16" s="33"/>
      <c r="U16" s="33"/>
      <c r="V16" s="33"/>
      <c r="W16" s="33"/>
      <c r="X16" s="33"/>
      <c r="Y16" s="33"/>
    </row>
    <row r="17">
      <c r="A17" s="29">
        <f t="shared" si="1"/>
        <v>13</v>
      </c>
      <c r="B17" s="101" t="s">
        <v>103</v>
      </c>
      <c r="C17" s="29" t="s">
        <v>375</v>
      </c>
      <c r="D17" s="29" t="s">
        <v>162</v>
      </c>
      <c r="E17" s="90" t="str">
        <f>HYPERLINK("https://www-town-gifu--ikeda-lg-jp.translate.goog/live/0000002441.html?_x_tr_sl=ja&amp;_x_tr_tl=en&amp;_x_tr_hl=en-GB", "Link to " &amp; "Tochigi Prefrecture : " &amp; $B17 &amp;" City")</f>
        <v>Link to Tochigi Prefrecture : Ikeda City</v>
      </c>
      <c r="F17" s="29"/>
      <c r="G17" s="31"/>
      <c r="H17" s="31"/>
      <c r="I17" s="31"/>
      <c r="J17" s="29"/>
      <c r="K17" s="29"/>
      <c r="L17" s="29"/>
      <c r="M17" s="31"/>
      <c r="N17" s="32"/>
      <c r="O17" s="32"/>
      <c r="P17" s="32"/>
      <c r="Q17" s="32"/>
      <c r="R17" s="33"/>
      <c r="S17" s="33"/>
      <c r="T17" s="33"/>
      <c r="U17" s="33"/>
      <c r="V17" s="33"/>
      <c r="W17" s="33"/>
      <c r="X17" s="33"/>
      <c r="Y17" s="33"/>
    </row>
    <row r="18">
      <c r="A18" s="34">
        <f t="shared" si="1"/>
        <v>14</v>
      </c>
      <c r="B18" s="100" t="s">
        <v>774</v>
      </c>
      <c r="C18" s="34" t="s">
        <v>375</v>
      </c>
      <c r="D18" s="93" t="s">
        <v>130</v>
      </c>
      <c r="E18" s="89" t="str">
        <f>HYPERLINK("https://www-city-kaizu-lg-jp.translate.goog/kurashi/0000001552.html?_x_tr_sl=ja&amp;_x_tr_tl=en&amp;_x_tr_hl=en-GB", "Link to " &amp; "Tochigi Prefrecture : " &amp; $B18 &amp;" City")</f>
        <v>Link to Tochigi Prefrecture : Kaizu City</v>
      </c>
      <c r="F18" s="36"/>
      <c r="G18" s="36"/>
      <c r="H18" s="36"/>
      <c r="I18" s="36"/>
      <c r="J18" s="34"/>
      <c r="K18" s="34"/>
      <c r="L18" s="34"/>
      <c r="M18" s="36"/>
      <c r="N18" s="37"/>
      <c r="O18" s="37"/>
      <c r="P18" s="37"/>
      <c r="Q18" s="37"/>
      <c r="R18" s="38"/>
      <c r="S18" s="38"/>
      <c r="T18" s="38"/>
      <c r="U18" s="38"/>
      <c r="V18" s="38"/>
      <c r="W18" s="38"/>
      <c r="X18" s="38"/>
      <c r="Y18" s="38"/>
    </row>
    <row r="19">
      <c r="A19" s="29">
        <f t="shared" si="1"/>
        <v>15</v>
      </c>
      <c r="B19" s="101" t="s">
        <v>775</v>
      </c>
      <c r="C19" s="29" t="s">
        <v>375</v>
      </c>
      <c r="D19" s="92" t="s">
        <v>162</v>
      </c>
      <c r="E19" s="90" t="str">
        <f>HYPERLINK("https://www-city-kakamigahara-lg-jp.translate.goog/life/sumai/1001774/1001776.html?_x_tr_sl=ja&amp;_x_tr_tl=en&amp;_x_tr_hl=en-GB", "Link to " &amp; "Tochigi Prefrecture : " &amp; $B19 &amp;" City")</f>
        <v>Link to Tochigi Prefrecture : Kakamigahara City</v>
      </c>
      <c r="F19" s="29"/>
      <c r="G19" s="31"/>
      <c r="H19" s="31"/>
      <c r="I19" s="31"/>
      <c r="J19" s="29"/>
      <c r="K19" s="29"/>
      <c r="L19" s="29"/>
      <c r="M19" s="31"/>
      <c r="N19" s="32"/>
      <c r="O19" s="32"/>
      <c r="P19" s="32"/>
      <c r="Q19" s="32"/>
      <c r="R19" s="33"/>
      <c r="S19" s="33"/>
      <c r="T19" s="33"/>
      <c r="U19" s="33"/>
      <c r="V19" s="33"/>
      <c r="W19" s="33"/>
      <c r="X19" s="33"/>
      <c r="Y19" s="33"/>
    </row>
    <row r="20">
      <c r="A20" s="22">
        <f t="shared" si="1"/>
        <v>16</v>
      </c>
      <c r="B20" s="99" t="s">
        <v>776</v>
      </c>
      <c r="C20" s="22" t="s">
        <v>375</v>
      </c>
      <c r="D20" s="88" t="s">
        <v>173</v>
      </c>
      <c r="E20" s="91" t="str">
        <f>HYPERLINK("https://kani--suki-jp.translate.goog/life/house/institution/result.html?utf8=%E2%9C%93&amp;_x_tr_sl=ja&amp;_x_tr_tl=en&amp;_x_tr_hl=en-GB", "Link to " &amp; "Tochigi Prefrecture : " &amp; $B20 &amp;" City")</f>
        <v>Link to Tochigi Prefrecture : Kani City</v>
      </c>
      <c r="F20" s="22"/>
      <c r="G20" s="23"/>
      <c r="H20" s="23"/>
      <c r="I20" s="23"/>
      <c r="J20" s="22"/>
      <c r="K20" s="22"/>
      <c r="L20" s="22"/>
      <c r="M20" s="23"/>
      <c r="N20" s="24"/>
      <c r="O20" s="24"/>
      <c r="P20" s="24"/>
      <c r="Q20" s="24"/>
      <c r="R20" s="25"/>
      <c r="S20" s="25"/>
      <c r="T20" s="25"/>
      <c r="U20" s="25"/>
      <c r="V20" s="25"/>
      <c r="W20" s="25"/>
      <c r="X20" s="25"/>
      <c r="Y20" s="25"/>
    </row>
    <row r="21">
      <c r="A21" s="22">
        <f t="shared" si="1"/>
        <v>17</v>
      </c>
      <c r="B21" s="99" t="s">
        <v>777</v>
      </c>
      <c r="C21" s="22" t="s">
        <v>463</v>
      </c>
      <c r="D21" s="22" t="s">
        <v>173</v>
      </c>
      <c r="E21" s="91" t="str">
        <f>HYPERLINK("https://www.akiyabanks.com/error", "Link to " &amp; "Tochigi Prefrecture : " &amp; $B21 &amp;" City")</f>
        <v>Link to Tochigi Prefrecture : Kasamatsu City</v>
      </c>
      <c r="F21" s="22"/>
      <c r="G21" s="23"/>
      <c r="H21" s="23"/>
      <c r="I21" s="23"/>
      <c r="J21" s="22"/>
      <c r="K21" s="22"/>
      <c r="L21" s="22"/>
      <c r="M21" s="23"/>
      <c r="N21" s="24"/>
      <c r="O21" s="24"/>
      <c r="P21" s="24"/>
      <c r="Q21" s="24"/>
      <c r="R21" s="25"/>
      <c r="S21" s="25"/>
      <c r="T21" s="25"/>
      <c r="U21" s="25"/>
      <c r="V21" s="25"/>
      <c r="W21" s="25"/>
      <c r="X21" s="25"/>
      <c r="Y21" s="25"/>
    </row>
    <row r="22">
      <c r="A22" s="29">
        <f t="shared" si="1"/>
        <v>18</v>
      </c>
      <c r="B22" s="101" t="s">
        <v>778</v>
      </c>
      <c r="C22" s="29" t="s">
        <v>375</v>
      </c>
      <c r="D22" s="92" t="s">
        <v>162</v>
      </c>
      <c r="E22" s="90" t="str">
        <f>HYPERLINK("https://www-kawabe--gifu-jp.translate.goog/?page_id=16351&amp;_x_tr_sl=ja&amp;_x_tr_tl=en&amp;_x_tr_hl=en-GB", "Link to " &amp; "Tochigi Prefrecture : " &amp; $B22 &amp;" City")</f>
        <v>Link to Tochigi Prefrecture : Kawabe City</v>
      </c>
      <c r="F22" s="31"/>
      <c r="G22" s="31"/>
      <c r="H22" s="31"/>
      <c r="I22" s="31"/>
      <c r="J22" s="29"/>
      <c r="K22" s="29"/>
      <c r="L22" s="29"/>
      <c r="M22" s="31"/>
      <c r="N22" s="32"/>
      <c r="O22" s="32"/>
      <c r="P22" s="32"/>
      <c r="Q22" s="32"/>
      <c r="R22" s="33"/>
      <c r="S22" s="33"/>
      <c r="T22" s="33"/>
      <c r="U22" s="33"/>
      <c r="V22" s="33"/>
      <c r="W22" s="33"/>
      <c r="X22" s="33"/>
      <c r="Y22" s="33"/>
    </row>
    <row r="23">
      <c r="A23" s="22">
        <f t="shared" si="1"/>
        <v>19</v>
      </c>
      <c r="B23" s="99" t="s">
        <v>779</v>
      </c>
      <c r="C23" s="22" t="s">
        <v>375</v>
      </c>
      <c r="D23" s="22" t="s">
        <v>173</v>
      </c>
      <c r="E23" s="91" t="str">
        <f>HYPERLINK("https://www-town-kitagata-gifu-jp.translate.goog/fourth/vacant_house_bank/vacant_house_bank_infomation.html?_x_tr_sl=ja&amp;_x_tr_tl=en&amp;_x_tr_hl=en-GB", "Link to " &amp; "Tochigi Prefrecture : " &amp; $B23 &amp;" City")</f>
        <v>Link to Tochigi Prefrecture : Kitagata City</v>
      </c>
      <c r="F23" s="22"/>
      <c r="G23" s="23"/>
      <c r="H23" s="23"/>
      <c r="I23" s="23"/>
      <c r="J23" s="22"/>
      <c r="K23" s="22"/>
      <c r="L23" s="22"/>
      <c r="M23" s="23"/>
      <c r="N23" s="24"/>
      <c r="O23" s="24"/>
      <c r="P23" s="24"/>
      <c r="Q23" s="24"/>
      <c r="R23" s="25"/>
      <c r="S23" s="25"/>
      <c r="T23" s="25"/>
      <c r="U23" s="25"/>
      <c r="V23" s="25"/>
      <c r="W23" s="25"/>
      <c r="X23" s="25"/>
      <c r="Y23" s="25"/>
    </row>
    <row r="24">
      <c r="A24" s="34">
        <f t="shared" si="1"/>
        <v>20</v>
      </c>
      <c r="B24" s="100" t="s">
        <v>780</v>
      </c>
      <c r="C24" s="34" t="s">
        <v>375</v>
      </c>
      <c r="D24" s="34" t="s">
        <v>130</v>
      </c>
      <c r="E24" s="89" t="str">
        <f>HYPERLINK("https://npomino-jp.translate.goog/?_x_tr_sl=ja&amp;_x_tr_tl=en&amp;_x_tr_hl=en-GB", "Link to " &amp; "Tochigi Prefrecture : " &amp; $B24 &amp;" City")</f>
        <v>Link to Tochigi Prefrecture : Mino City</v>
      </c>
      <c r="F24" s="34"/>
      <c r="G24" s="36"/>
      <c r="H24" s="36"/>
      <c r="I24" s="36"/>
      <c r="J24" s="34"/>
      <c r="K24" s="34"/>
      <c r="L24" s="34"/>
      <c r="M24" s="36"/>
      <c r="N24" s="37"/>
      <c r="O24" s="37"/>
      <c r="P24" s="37"/>
      <c r="Q24" s="37"/>
      <c r="R24" s="38"/>
      <c r="S24" s="38"/>
      <c r="T24" s="38"/>
      <c r="U24" s="38"/>
      <c r="V24" s="38"/>
      <c r="W24" s="38"/>
      <c r="X24" s="38"/>
      <c r="Y24" s="38"/>
    </row>
    <row r="25">
      <c r="A25" s="22">
        <f t="shared" si="1"/>
        <v>21</v>
      </c>
      <c r="B25" s="99" t="s">
        <v>781</v>
      </c>
      <c r="C25" s="22" t="s">
        <v>375</v>
      </c>
      <c r="D25" s="22" t="s">
        <v>173</v>
      </c>
      <c r="E25" s="91" t="str">
        <f>HYPERLINK("https://minokamojikan.jp/live_result?%E3%82%A8%E3%83%AA%E3%82%A2%5B%5D=oota&amp;%E3%82%A8%E3%83%AA%E3%82%A2%5B%5D=kobi&amp;%E3%82%A8%E3%83%AA%E3%82%A2%5B%5D=yamanoue&amp;%E3%82%A8%E3%83%AA%E3%82%A2%5B%5D=hachiya&amp;%E3%82%A8%E3%83%AA%E3%82%A2%5B%5D=kamono&amp;%E3%82%A8%E3%8"&amp;"3%AA%E3%82%A2%5B%5D=ibuka&amp;%E3%82%A8%E3%83%AA%E3%82%A2%5B%5D=miwa&amp;%E3%82%A8%E3%83%AA%E3%82%A2%5B%5D=simoyoneda", "Link to " &amp; "Tochigi Prefrecture : " &amp; $B25 &amp;" City")</f>
        <v>Link to Tochigi Prefrecture : Minokamo City</v>
      </c>
      <c r="F25" s="23"/>
      <c r="G25" s="22"/>
      <c r="H25" s="23"/>
      <c r="I25" s="23"/>
      <c r="J25" s="22"/>
      <c r="K25" s="22"/>
      <c r="L25" s="22"/>
      <c r="M25" s="23"/>
      <c r="N25" s="24"/>
      <c r="O25" s="24"/>
      <c r="P25" s="24"/>
      <c r="Q25" s="24"/>
      <c r="R25" s="25"/>
      <c r="S25" s="25"/>
      <c r="T25" s="25"/>
      <c r="U25" s="25"/>
      <c r="V25" s="25"/>
      <c r="W25" s="25"/>
      <c r="X25" s="25"/>
      <c r="Y25" s="25"/>
    </row>
    <row r="26">
      <c r="A26" s="29">
        <f t="shared" si="1"/>
        <v>22</v>
      </c>
      <c r="B26" s="101" t="s">
        <v>782</v>
      </c>
      <c r="C26" s="29" t="s">
        <v>375</v>
      </c>
      <c r="D26" s="29" t="s">
        <v>162</v>
      </c>
      <c r="E26" s="90" t="str">
        <f>HYPERLINK("https://mitake--gurashi-jp.translate.goog/ijyu/property-list.html?_x_tr_sl=ja&amp;_x_tr_tl=en&amp;_x_tr_hl=en-GB", "Link to " &amp; "Tochigi Prefrecture : " &amp; $B26 &amp;" City")</f>
        <v>Link to Tochigi Prefrecture : Mitake City</v>
      </c>
      <c r="F26" s="31"/>
      <c r="G26" s="31"/>
      <c r="H26" s="31"/>
      <c r="I26" s="31"/>
      <c r="J26" s="29"/>
      <c r="K26" s="29"/>
      <c r="L26" s="29"/>
      <c r="M26" s="31"/>
      <c r="N26" s="32"/>
      <c r="O26" s="32"/>
      <c r="P26" s="32"/>
      <c r="Q26" s="32"/>
      <c r="R26" s="33"/>
      <c r="S26" s="33"/>
      <c r="T26" s="33"/>
      <c r="U26" s="33"/>
      <c r="V26" s="33"/>
      <c r="W26" s="33"/>
      <c r="X26" s="33"/>
      <c r="Y26" s="33"/>
    </row>
    <row r="27">
      <c r="A27" s="22">
        <f t="shared" si="1"/>
        <v>23</v>
      </c>
      <c r="B27" s="99" t="s">
        <v>76</v>
      </c>
      <c r="C27" s="22" t="s">
        <v>463</v>
      </c>
      <c r="D27" s="22" t="s">
        <v>173</v>
      </c>
      <c r="E27" s="91" t="str">
        <f>HYPERLINK("https://www.akiyabanks.com/error", "Link to " &amp; "Tochigi Prefrecture : " &amp; $B27 &amp;" City")</f>
        <v>Link to Tochigi Prefrecture : Mizuho City</v>
      </c>
      <c r="F27" s="23"/>
      <c r="G27" s="23"/>
      <c r="H27" s="23"/>
      <c r="I27" s="23"/>
      <c r="J27" s="22"/>
      <c r="K27" s="22"/>
      <c r="L27" s="22"/>
      <c r="M27" s="23"/>
      <c r="N27" s="24"/>
      <c r="O27" s="24"/>
      <c r="P27" s="24"/>
      <c r="Q27" s="24"/>
      <c r="R27" s="25"/>
      <c r="S27" s="25"/>
      <c r="T27" s="25"/>
      <c r="U27" s="25"/>
      <c r="V27" s="25"/>
      <c r="W27" s="25"/>
      <c r="X27" s="25"/>
      <c r="Y27" s="25"/>
    </row>
    <row r="28">
      <c r="A28" s="22">
        <f t="shared" si="1"/>
        <v>24</v>
      </c>
      <c r="B28" s="99" t="s">
        <v>783</v>
      </c>
      <c r="C28" s="22" t="s">
        <v>375</v>
      </c>
      <c r="D28" s="22" t="s">
        <v>173</v>
      </c>
      <c r="E28" s="91" t="str">
        <f>HYPERLINK("https://www-city-mizunami-lg-jp.translate.goog/kurashi/sumai/1001528/1001529.html?_x_tr_sl=ja&amp;_x_tr_tl=en&amp;_x_tr_hl=en-GB", "Link to " &amp; "Tochigi Prefrecture : " &amp; $B28 &amp;" City")</f>
        <v>Link to Tochigi Prefrecture : Mizunami City</v>
      </c>
      <c r="F28" s="22"/>
      <c r="G28" s="23"/>
      <c r="H28" s="23"/>
      <c r="I28" s="23"/>
      <c r="J28" s="22"/>
      <c r="K28" s="22"/>
      <c r="L28" s="22"/>
      <c r="M28" s="23"/>
      <c r="N28" s="24"/>
      <c r="O28" s="24"/>
      <c r="P28" s="24"/>
      <c r="Q28" s="24"/>
      <c r="R28" s="25"/>
      <c r="S28" s="25"/>
      <c r="T28" s="25"/>
      <c r="U28" s="25"/>
      <c r="V28" s="25"/>
      <c r="W28" s="25"/>
      <c r="X28" s="25"/>
      <c r="Y28" s="25"/>
    </row>
    <row r="29">
      <c r="A29" s="29">
        <f t="shared" si="1"/>
        <v>25</v>
      </c>
      <c r="B29" s="101" t="s">
        <v>784</v>
      </c>
      <c r="C29" s="29" t="s">
        <v>375</v>
      </c>
      <c r="D29" s="29" t="s">
        <v>162</v>
      </c>
      <c r="E29" s="90" t="str">
        <f>HYPERLINK("https://www-city-motosu-lg-jp.translate.goog/iju/0000000178.html?_x_tr_sl=ja&amp;_x_tr_tl=en&amp;_x_tr_hl=en-GB", "Link to " &amp; "Tochigi Prefrecture : " &amp; $B29 &amp;" City")</f>
        <v>Link to Tochigi Prefrecture : Motosu City</v>
      </c>
      <c r="F29" s="29"/>
      <c r="G29" s="31"/>
      <c r="H29" s="31"/>
      <c r="I29" s="31"/>
      <c r="J29" s="29"/>
      <c r="K29" s="29"/>
      <c r="L29" s="29"/>
      <c r="M29" s="31"/>
      <c r="N29" s="32"/>
      <c r="O29" s="32"/>
      <c r="P29" s="32"/>
      <c r="Q29" s="32"/>
      <c r="R29" s="33"/>
      <c r="S29" s="33"/>
      <c r="T29" s="33"/>
      <c r="U29" s="33"/>
      <c r="V29" s="33"/>
      <c r="W29" s="33"/>
      <c r="X29" s="33"/>
      <c r="Y29" s="33"/>
    </row>
    <row r="30">
      <c r="A30" s="34">
        <f t="shared" si="1"/>
        <v>26</v>
      </c>
      <c r="B30" s="100" t="s">
        <v>785</v>
      </c>
      <c r="C30" s="34" t="s">
        <v>375</v>
      </c>
      <c r="D30" s="34" t="s">
        <v>130</v>
      </c>
      <c r="E30" s="89" t="str">
        <f>HYPERLINK("https://www-nakatugawa-com.translate.goog/sellhouse?_x_tr_sl=ja&amp;_x_tr_tl=en&amp;_x_tr_hl=en-GB", "Link to " &amp; "Tochigi Prefrecture : " &amp; $B30 &amp;" City")</f>
        <v>Link to Tochigi Prefrecture : Nakatsugawa City</v>
      </c>
      <c r="F30" s="36"/>
      <c r="G30" s="36"/>
      <c r="H30" s="36"/>
      <c r="I30" s="36"/>
      <c r="J30" s="34"/>
      <c r="K30" s="34"/>
      <c r="L30" s="34"/>
      <c r="M30" s="36"/>
      <c r="N30" s="37"/>
      <c r="O30" s="37"/>
      <c r="P30" s="37"/>
      <c r="Q30" s="37"/>
      <c r="R30" s="38"/>
      <c r="S30" s="38"/>
      <c r="T30" s="38"/>
      <c r="U30" s="38"/>
      <c r="V30" s="38"/>
      <c r="W30" s="38"/>
      <c r="X30" s="38"/>
      <c r="Y30" s="38"/>
    </row>
    <row r="31">
      <c r="A31" s="34">
        <f t="shared" si="1"/>
        <v>27</v>
      </c>
      <c r="B31" s="80" t="s">
        <v>786</v>
      </c>
      <c r="C31" s="34" t="s">
        <v>375</v>
      </c>
      <c r="D31" s="34" t="s">
        <v>130</v>
      </c>
      <c r="E31" s="89" t="str">
        <f>HYPERLINK("https://www-town-sakahogi-gifu-jp.translate.goog/diary/?page_id=2309&amp;_x_tr_sl=ja&amp;_x_tr_tl=en&amp;_x_tr_hl=en-GB", "Link to " &amp; "Tochigi Prefrecture : " &amp; $B31 &amp;" City")</f>
        <v>Link to Tochigi Prefrecture : Sakahogi City</v>
      </c>
      <c r="F31" s="34"/>
      <c r="G31" s="36"/>
      <c r="H31" s="36"/>
      <c r="I31" s="36"/>
      <c r="J31" s="34"/>
      <c r="K31" s="34"/>
      <c r="L31" s="34"/>
      <c r="M31" s="36"/>
      <c r="N31" s="36"/>
      <c r="O31" s="37"/>
      <c r="P31" s="37"/>
      <c r="Q31" s="37"/>
      <c r="R31" s="38"/>
      <c r="S31" s="38"/>
      <c r="T31" s="38"/>
      <c r="U31" s="38"/>
      <c r="V31" s="38"/>
      <c r="W31" s="38"/>
      <c r="X31" s="38"/>
      <c r="Y31" s="38"/>
    </row>
    <row r="32">
      <c r="A32" s="29">
        <f t="shared" si="1"/>
        <v>28</v>
      </c>
      <c r="B32" s="81" t="s">
        <v>787</v>
      </c>
      <c r="C32" s="29" t="s">
        <v>375</v>
      </c>
      <c r="D32" s="29" t="s">
        <v>162</v>
      </c>
      <c r="E32" s="90" t="str">
        <f>HYPERLINK("https://www-sekikurashi-com.translate.goog/house?_x_tr_sl=ja&amp;_x_tr_tl=en&amp;_x_tr_hl=en-GB", "Link to " &amp; "Tochigi Prefrecture : " &amp; $B32 &amp;" City")</f>
        <v>Link to Tochigi Prefrecture : Seki City</v>
      </c>
      <c r="F32" s="29"/>
      <c r="G32" s="31"/>
      <c r="H32" s="31"/>
      <c r="I32" s="31"/>
      <c r="J32" s="29"/>
      <c r="K32" s="29"/>
      <c r="L32" s="29"/>
      <c r="M32" s="31"/>
      <c r="N32" s="31"/>
      <c r="O32" s="32"/>
      <c r="P32" s="32"/>
      <c r="Q32" s="32"/>
      <c r="R32" s="33"/>
      <c r="S32" s="33"/>
      <c r="T32" s="33"/>
      <c r="U32" s="33"/>
      <c r="V32" s="33"/>
      <c r="W32" s="33"/>
      <c r="X32" s="33"/>
      <c r="Y32" s="33"/>
    </row>
    <row r="33">
      <c r="A33" s="29">
        <f t="shared" si="1"/>
        <v>29</v>
      </c>
      <c r="B33" s="81" t="s">
        <v>788</v>
      </c>
      <c r="C33" s="29" t="s">
        <v>375</v>
      </c>
      <c r="D33" s="92" t="s">
        <v>162</v>
      </c>
      <c r="E33" s="90" t="str">
        <f>HYPERLINK("https://www-town-sekigahara-gifu-jp.translate.goog/4566.htm?_x_tr_sl=ja&amp;_x_tr_tl=en&amp;_x_tr_hl=en-GB", "Link to " &amp; "Tochigi Prefrecture : " &amp; $B33 &amp;" City")</f>
        <v>Link to Tochigi Prefrecture : Sekigahara City</v>
      </c>
      <c r="F33" s="31"/>
      <c r="G33" s="31"/>
      <c r="H33" s="31"/>
      <c r="I33" s="31"/>
      <c r="J33" s="29"/>
      <c r="K33" s="29"/>
      <c r="L33" s="29"/>
      <c r="M33" s="31"/>
      <c r="N33" s="31"/>
      <c r="O33" s="32"/>
      <c r="P33" s="32"/>
      <c r="Q33" s="32"/>
      <c r="R33" s="33"/>
      <c r="S33" s="33"/>
      <c r="T33" s="33"/>
      <c r="U33" s="33"/>
      <c r="V33" s="33"/>
      <c r="W33" s="33"/>
      <c r="X33" s="33"/>
      <c r="Y33" s="33"/>
    </row>
    <row r="34">
      <c r="A34" s="22">
        <f t="shared" si="1"/>
        <v>30</v>
      </c>
      <c r="B34" s="87" t="s">
        <v>789</v>
      </c>
      <c r="C34" s="22" t="s">
        <v>463</v>
      </c>
      <c r="D34" s="22" t="s">
        <v>173</v>
      </c>
      <c r="E34" s="91" t="str">
        <f>HYPERLINK("https://www.akiyabanks.com/error", "Link to " &amp; "Tochigi Prefrecture : " &amp; $B34 &amp;" City")</f>
        <v>Link to Tochigi Prefrecture : Shirakawa Town City</v>
      </c>
      <c r="F34" s="23"/>
      <c r="G34" s="23"/>
      <c r="H34" s="23"/>
      <c r="I34" s="23"/>
      <c r="J34" s="22"/>
      <c r="K34" s="22"/>
      <c r="L34" s="22"/>
      <c r="M34" s="23"/>
      <c r="N34" s="23"/>
      <c r="O34" s="24"/>
      <c r="P34" s="24"/>
      <c r="Q34" s="24"/>
      <c r="R34" s="25"/>
      <c r="S34" s="25"/>
      <c r="T34" s="25"/>
      <c r="U34" s="25"/>
      <c r="V34" s="25"/>
      <c r="W34" s="25"/>
      <c r="X34" s="25"/>
      <c r="Y34" s="25"/>
    </row>
    <row r="35">
      <c r="A35" s="22">
        <f t="shared" si="1"/>
        <v>31</v>
      </c>
      <c r="B35" s="87" t="s">
        <v>790</v>
      </c>
      <c r="C35" s="22" t="s">
        <v>375</v>
      </c>
      <c r="D35" s="88" t="s">
        <v>173</v>
      </c>
      <c r="E35" s="91" t="str">
        <f>HYPERLINK("https://www-vill-shirakawa-lg-jp.translate.goog/1540.htm?_x_tr_sl=ja&amp;_x_tr_tl=en&amp;_x_tr_hl=en-GB", "Link to " &amp; "Tochigi Prefrecture : " &amp; $B35 &amp;" City")</f>
        <v>Link to Tochigi Prefrecture : Shirakawa Village City</v>
      </c>
      <c r="F35" s="23"/>
      <c r="G35" s="23"/>
      <c r="H35" s="23"/>
      <c r="I35" s="23"/>
      <c r="J35" s="22"/>
      <c r="K35" s="22"/>
      <c r="L35" s="22"/>
      <c r="M35" s="23"/>
      <c r="N35" s="23"/>
      <c r="O35" s="24"/>
      <c r="P35" s="24"/>
      <c r="Q35" s="24"/>
      <c r="R35" s="25"/>
      <c r="S35" s="25"/>
      <c r="T35" s="25"/>
      <c r="U35" s="25"/>
      <c r="V35" s="25"/>
      <c r="W35" s="25"/>
      <c r="X35" s="25"/>
      <c r="Y35" s="25"/>
    </row>
    <row r="36">
      <c r="A36" s="22">
        <f t="shared" si="1"/>
        <v>32</v>
      </c>
      <c r="B36" s="87" t="s">
        <v>791</v>
      </c>
      <c r="C36" s="22" t="s">
        <v>375</v>
      </c>
      <c r="D36" s="22" t="s">
        <v>173</v>
      </c>
      <c r="E36" s="91" t="str">
        <f>HYPERLINK("https://tajimi--akiyabank-jp.translate.goog/real-estate/index.html?_x_tr_sl=ja&amp;_x_tr_tl=en&amp;_x_tr_hl=en-GB#list", "Link to " &amp; "Tochigi Prefrecture : " &amp; $B36 &amp;" City")</f>
        <v>Link to Tochigi Prefrecture : Tajimi City</v>
      </c>
      <c r="F36" s="23"/>
      <c r="G36" s="23"/>
      <c r="H36" s="23"/>
      <c r="I36" s="23"/>
      <c r="J36" s="22"/>
      <c r="K36" s="22"/>
      <c r="L36" s="22"/>
      <c r="M36" s="23"/>
      <c r="N36" s="23"/>
      <c r="O36" s="24"/>
      <c r="P36" s="24"/>
      <c r="Q36" s="24"/>
      <c r="R36" s="25"/>
      <c r="S36" s="25"/>
      <c r="T36" s="25"/>
      <c r="U36" s="25"/>
      <c r="V36" s="25"/>
      <c r="W36" s="25"/>
      <c r="X36" s="25"/>
      <c r="Y36" s="25"/>
    </row>
    <row r="37">
      <c r="A37" s="34">
        <f t="shared" si="1"/>
        <v>33</v>
      </c>
      <c r="B37" s="80" t="s">
        <v>406</v>
      </c>
      <c r="C37" s="34" t="s">
        <v>375</v>
      </c>
      <c r="D37" s="34" t="s">
        <v>130</v>
      </c>
      <c r="E37" s="89" t="str">
        <f>HYPERLINK("https://www-city-takayama-lg-jp.translate.goog/shisei/1015214/1015625/1018203/index.html?_x_tr_sl=ja&amp;_x_tr_tl=en&amp;_x_tr_hl=en-GB", "Link to " &amp; "Tochigi Prefrecture : " &amp; $B37 &amp;" City")</f>
        <v>Link to Tochigi Prefrecture : Takayama City</v>
      </c>
      <c r="F37" s="36"/>
      <c r="G37" s="36"/>
      <c r="H37" s="36"/>
      <c r="I37" s="36"/>
      <c r="J37" s="34"/>
      <c r="K37" s="34"/>
      <c r="L37" s="34"/>
      <c r="M37" s="36"/>
      <c r="N37" s="36"/>
      <c r="O37" s="37"/>
      <c r="P37" s="37"/>
      <c r="Q37" s="37"/>
      <c r="R37" s="38"/>
      <c r="S37" s="38"/>
      <c r="T37" s="38"/>
      <c r="U37" s="38"/>
      <c r="V37" s="38"/>
      <c r="W37" s="38"/>
      <c r="X37" s="38"/>
      <c r="Y37" s="38"/>
    </row>
    <row r="38">
      <c r="A38" s="22">
        <f t="shared" si="1"/>
        <v>34</v>
      </c>
      <c r="B38" s="87" t="s">
        <v>792</v>
      </c>
      <c r="C38" s="22" t="s">
        <v>463</v>
      </c>
      <c r="D38" s="22" t="s">
        <v>173</v>
      </c>
      <c r="E38" s="91" t="str">
        <f>HYPERLINK("https://www.akiyabanks.com/error", "Link to " &amp; "Tochigi Prefrecture : " &amp; $B38 &amp;" City")</f>
        <v>Link to Tochigi Prefrecture : Tarui City</v>
      </c>
      <c r="F38" s="23"/>
      <c r="G38" s="23"/>
      <c r="H38" s="23"/>
      <c r="I38" s="23"/>
      <c r="J38" s="22"/>
      <c r="K38" s="22"/>
      <c r="L38" s="22"/>
      <c r="M38" s="23"/>
      <c r="N38" s="23"/>
      <c r="O38" s="24"/>
      <c r="P38" s="24"/>
      <c r="Q38" s="24"/>
      <c r="R38" s="25"/>
      <c r="S38" s="25"/>
      <c r="T38" s="25"/>
      <c r="U38" s="25"/>
      <c r="V38" s="25"/>
      <c r="W38" s="25"/>
      <c r="X38" s="25"/>
      <c r="Y38" s="25"/>
    </row>
    <row r="39">
      <c r="A39" s="22">
        <f t="shared" si="1"/>
        <v>35</v>
      </c>
      <c r="B39" s="87" t="s">
        <v>793</v>
      </c>
      <c r="C39" s="22" t="s">
        <v>375</v>
      </c>
      <c r="D39" s="22" t="s">
        <v>173</v>
      </c>
      <c r="E39" s="91" t="str">
        <f>HYPERLINK("https://www-city-toki-lg-jp.translate.goog/docs/hpg000009066.html?_x_tr_sl=ja&amp;_x_tr_tl=en&amp;_x_tr_hl=en-GB", "Link to " &amp; "Tochigi Prefrecture : " &amp; $B39 &amp;" City")</f>
        <v>Link to Tochigi Prefrecture : Toki City</v>
      </c>
      <c r="F39" s="23"/>
      <c r="G39" s="23"/>
      <c r="H39" s="23"/>
      <c r="I39" s="23"/>
      <c r="J39" s="22"/>
      <c r="K39" s="22"/>
      <c r="L39" s="22"/>
      <c r="M39" s="23"/>
      <c r="N39" s="23"/>
      <c r="O39" s="24"/>
      <c r="P39" s="24"/>
      <c r="Q39" s="24"/>
      <c r="R39" s="25"/>
      <c r="S39" s="25"/>
      <c r="T39" s="25"/>
      <c r="U39" s="25"/>
      <c r="V39" s="25"/>
      <c r="W39" s="25"/>
      <c r="X39" s="25"/>
      <c r="Y39" s="25"/>
    </row>
    <row r="40">
      <c r="A40" s="34">
        <f t="shared" si="1"/>
        <v>36</v>
      </c>
      <c r="B40" s="80" t="s">
        <v>794</v>
      </c>
      <c r="C40" s="34" t="s">
        <v>375</v>
      </c>
      <c r="D40" s="34" t="s">
        <v>130</v>
      </c>
      <c r="E40" s="89" t="str">
        <f>HYPERLINK("http://teiju.town.tomika.gifu.jp/akiya-bank/index.html", "Link to " &amp; "Tochigi Prefrecture : " &amp; $B40 &amp;" City")</f>
        <v>Link to Tochigi Prefrecture : Tomika City</v>
      </c>
      <c r="F40" s="36"/>
      <c r="G40" s="36"/>
      <c r="H40" s="36"/>
      <c r="I40" s="36"/>
      <c r="J40" s="34"/>
      <c r="K40" s="34"/>
      <c r="L40" s="34"/>
      <c r="M40" s="36"/>
      <c r="N40" s="36"/>
      <c r="O40" s="37"/>
      <c r="P40" s="37"/>
      <c r="Q40" s="37"/>
      <c r="R40" s="38"/>
      <c r="S40" s="38"/>
      <c r="T40" s="38"/>
      <c r="U40" s="38"/>
      <c r="V40" s="38"/>
      <c r="W40" s="38"/>
      <c r="X40" s="38"/>
      <c r="Y40" s="38"/>
    </row>
    <row r="41">
      <c r="A41" s="22">
        <f t="shared" si="1"/>
        <v>37</v>
      </c>
      <c r="B41" s="87" t="s">
        <v>795</v>
      </c>
      <c r="C41" s="22" t="s">
        <v>463</v>
      </c>
      <c r="D41" s="22" t="s">
        <v>173</v>
      </c>
      <c r="E41" s="91" t="str">
        <f>HYPERLINK("https://www.akiyabanks.com/error", "Link to " &amp; "Tochigi Prefrecture : " &amp; $B41 &amp;" City")</f>
        <v>Link to Tochigi Prefrecture : Wanouchi City</v>
      </c>
      <c r="F41" s="23"/>
      <c r="G41" s="23"/>
      <c r="H41" s="23"/>
      <c r="I41" s="23"/>
      <c r="J41" s="22"/>
      <c r="K41" s="22"/>
      <c r="L41" s="22"/>
      <c r="M41" s="23"/>
      <c r="N41" s="23"/>
      <c r="O41" s="25"/>
      <c r="P41" s="25"/>
      <c r="Q41" s="25"/>
      <c r="R41" s="25"/>
      <c r="S41" s="25"/>
      <c r="T41" s="25"/>
      <c r="U41" s="25"/>
      <c r="V41" s="25"/>
      <c r="W41" s="25"/>
      <c r="X41" s="25"/>
      <c r="Y41" s="25"/>
    </row>
    <row r="42">
      <c r="A42" s="34">
        <f t="shared" si="1"/>
        <v>38</v>
      </c>
      <c r="B42" s="80" t="s">
        <v>414</v>
      </c>
      <c r="C42" s="34" t="s">
        <v>375</v>
      </c>
      <c r="D42" s="34" t="s">
        <v>130</v>
      </c>
      <c r="E42" s="89" t="str">
        <f>HYPERLINK("https://www-city-yamagata-gifu-jp.translate.goog/site/yamanavi/list9-35.html?_x_tr_sl=ja&amp;_x_tr_tl=en&amp;_x_tr_hl=en-GB", "Link to " &amp; "Tochigi Prefrecture : " &amp; $B42 &amp;" City")</f>
        <v>Link to Tochigi Prefrecture : Yamagata City</v>
      </c>
      <c r="F42" s="36"/>
      <c r="G42" s="36"/>
      <c r="H42" s="36"/>
      <c r="I42" s="36"/>
      <c r="J42" s="34"/>
      <c r="K42" s="34"/>
      <c r="L42" s="34"/>
      <c r="M42" s="36"/>
      <c r="N42" s="36"/>
      <c r="O42" s="38"/>
      <c r="P42" s="38"/>
      <c r="Q42" s="38"/>
      <c r="R42" s="38"/>
      <c r="S42" s="38"/>
      <c r="T42" s="38"/>
      <c r="U42" s="38"/>
      <c r="V42" s="38"/>
      <c r="W42" s="38"/>
      <c r="X42" s="38"/>
      <c r="Y42" s="38"/>
    </row>
    <row r="43">
      <c r="A43" s="34">
        <f t="shared" si="1"/>
        <v>39</v>
      </c>
      <c r="B43" s="80" t="s">
        <v>796</v>
      </c>
      <c r="C43" s="34" t="s">
        <v>375</v>
      </c>
      <c r="D43" s="34" t="s">
        <v>130</v>
      </c>
      <c r="E43" s="89" t="str">
        <f>HYPERLINK("https://akiya--yaotsu-jp.translate.goog/akiyabank?_x_tr_sl=ja&amp;_x_tr_tl=en&amp;_x_tr_hl=en-GB", "Link to " &amp; "Tochigi Prefrecture : " &amp; $B43 &amp;" City")</f>
        <v>Link to Tochigi Prefrecture : Yaotsu City</v>
      </c>
      <c r="F43" s="36"/>
      <c r="G43" s="36"/>
      <c r="H43" s="36"/>
      <c r="I43" s="36"/>
      <c r="J43" s="34"/>
      <c r="K43" s="34"/>
      <c r="L43" s="34"/>
      <c r="M43" s="36"/>
      <c r="N43" s="36"/>
      <c r="O43" s="38"/>
      <c r="P43" s="38"/>
      <c r="Q43" s="38"/>
      <c r="R43" s="38"/>
      <c r="S43" s="38"/>
      <c r="T43" s="38"/>
      <c r="U43" s="38"/>
      <c r="V43" s="38"/>
      <c r="W43" s="38"/>
      <c r="X43" s="38"/>
      <c r="Y43" s="38"/>
    </row>
    <row r="44">
      <c r="A44" s="22">
        <f t="shared" si="1"/>
        <v>40</v>
      </c>
      <c r="B44" s="87" t="s">
        <v>797</v>
      </c>
      <c r="C44" s="22" t="s">
        <v>375</v>
      </c>
      <c r="D44" s="22" t="s">
        <v>173</v>
      </c>
      <c r="E44" s="91" t="str">
        <f>HYPERLINK("https://www-town-yoro-gifu-jp.translate.goog/docs/2018013000021/?_x_tr_sl=ja&amp;_x_tr_tl=en&amp;_x_tr_hl=en-GB", "Link to " &amp; "Tochigi Prefrecture : " &amp; $B44 &amp;" City")</f>
        <v>Link to Tochigi Prefrecture : Yōrō City</v>
      </c>
      <c r="F44" s="23"/>
      <c r="G44" s="23"/>
      <c r="H44" s="23"/>
      <c r="I44" s="23"/>
      <c r="J44" s="22"/>
      <c r="K44" s="22"/>
      <c r="L44" s="22"/>
      <c r="M44" s="23"/>
      <c r="N44" s="23"/>
      <c r="O44" s="25"/>
      <c r="P44" s="25"/>
      <c r="Q44" s="25"/>
      <c r="R44" s="25"/>
      <c r="S44" s="25"/>
      <c r="T44" s="25"/>
      <c r="U44" s="25"/>
      <c r="V44" s="25"/>
      <c r="W44" s="25"/>
      <c r="X44" s="25"/>
      <c r="Y44" s="25"/>
    </row>
    <row r="45">
      <c r="A45" s="34">
        <f t="shared" si="1"/>
        <v>41</v>
      </c>
      <c r="B45" s="80" t="s">
        <v>798</v>
      </c>
      <c r="C45" s="34" t="s">
        <v>375</v>
      </c>
      <c r="D45" s="34" t="s">
        <v>130</v>
      </c>
      <c r="E45" s="89" t="str">
        <f>HYPERLINK("https://www-ogaki--akiya-net.translate.goog/?_x_tr_sl=ja&amp;_x_tr_tl=en&amp;_x_tr_hl=en-GB", "Link to " &amp; "Tochigi Prefrecture : " &amp; $B45 &amp;" City")</f>
        <v>Link to Tochigi Prefrecture : Ōgaki City</v>
      </c>
      <c r="F45" s="36"/>
      <c r="G45" s="36"/>
      <c r="H45" s="36"/>
      <c r="I45" s="36"/>
      <c r="J45" s="34"/>
      <c r="K45" s="34"/>
      <c r="L45" s="34"/>
      <c r="M45" s="36"/>
      <c r="N45" s="36"/>
      <c r="O45" s="38"/>
      <c r="P45" s="38"/>
      <c r="Q45" s="38"/>
      <c r="R45" s="38"/>
      <c r="S45" s="38"/>
      <c r="T45" s="38"/>
      <c r="U45" s="38"/>
      <c r="V45" s="38"/>
      <c r="W45" s="38"/>
      <c r="X45" s="38"/>
      <c r="Y45" s="38"/>
    </row>
    <row r="46">
      <c r="A46" s="29">
        <f t="shared" si="1"/>
        <v>42</v>
      </c>
      <c r="B46" s="81" t="s">
        <v>799</v>
      </c>
      <c r="C46" s="29" t="s">
        <v>375</v>
      </c>
      <c r="D46" s="29" t="s">
        <v>162</v>
      </c>
      <c r="E46" s="90" t="str">
        <f>HYPERLINK("https://www-town--ono-jp.translate.goog/0000001138.html?_x_tr_sl=ja&amp;_x_tr_tl=en&amp;_x_tr_hl=en-GB", "Link to " &amp; "Tochigi Prefrecture : " &amp; $B46 &amp;" City")</f>
        <v>Link to Tochigi Prefrecture : Ōno City</v>
      </c>
      <c r="F46" s="31"/>
      <c r="G46" s="31"/>
      <c r="H46" s="31"/>
      <c r="I46" s="31"/>
      <c r="J46" s="29"/>
      <c r="K46" s="29"/>
      <c r="L46" s="29"/>
      <c r="M46" s="31"/>
      <c r="N46" s="31"/>
      <c r="O46" s="33"/>
      <c r="P46" s="33"/>
      <c r="Q46" s="33"/>
      <c r="R46" s="33"/>
      <c r="S46" s="33"/>
      <c r="T46" s="33"/>
      <c r="U46" s="33"/>
      <c r="V46" s="33"/>
      <c r="W46" s="33"/>
      <c r="X46" s="33"/>
      <c r="Y46" s="33"/>
    </row>
    <row r="47">
      <c r="A47" s="111"/>
      <c r="C47" s="111"/>
      <c r="D47" s="111"/>
      <c r="J47" s="111"/>
      <c r="K47" s="111"/>
      <c r="L47" s="111"/>
    </row>
    <row r="48">
      <c r="A48" s="111"/>
      <c r="C48" s="111"/>
      <c r="D48" s="111"/>
      <c r="J48" s="111"/>
      <c r="K48" s="111"/>
      <c r="L48" s="111"/>
    </row>
    <row r="49">
      <c r="A49" s="111"/>
      <c r="C49" s="111"/>
      <c r="D49" s="111"/>
      <c r="J49" s="111"/>
      <c r="K49" s="111"/>
      <c r="L49" s="111"/>
    </row>
    <row r="50">
      <c r="A50" s="111"/>
      <c r="C50" s="111"/>
      <c r="D50" s="111"/>
      <c r="J50" s="111"/>
      <c r="K50" s="111"/>
      <c r="L50" s="111"/>
    </row>
    <row r="51">
      <c r="A51" s="111"/>
      <c r="C51" s="111"/>
      <c r="D51" s="111"/>
      <c r="J51" s="111"/>
      <c r="K51" s="111"/>
      <c r="L51" s="111"/>
    </row>
    <row r="52">
      <c r="A52" s="111"/>
      <c r="C52" s="111"/>
      <c r="D52" s="111"/>
      <c r="J52" s="111"/>
      <c r="K52" s="111"/>
      <c r="L52" s="111"/>
    </row>
    <row r="53">
      <c r="A53" s="111"/>
      <c r="C53" s="111"/>
      <c r="D53" s="111"/>
      <c r="J53" s="111"/>
      <c r="K53" s="111"/>
      <c r="L53" s="111"/>
    </row>
    <row r="54">
      <c r="A54" s="111"/>
      <c r="C54" s="111"/>
      <c r="D54" s="111"/>
      <c r="J54" s="111"/>
      <c r="K54" s="111"/>
      <c r="L54" s="111"/>
    </row>
    <row r="55">
      <c r="A55" s="111"/>
      <c r="C55" s="111"/>
      <c r="D55" s="111"/>
      <c r="J55" s="111"/>
      <c r="K55" s="111"/>
      <c r="L55" s="111"/>
    </row>
    <row r="56">
      <c r="A56" s="111"/>
      <c r="C56" s="111"/>
      <c r="D56" s="111"/>
      <c r="J56" s="111"/>
      <c r="K56" s="111"/>
      <c r="L56" s="111"/>
    </row>
    <row r="57">
      <c r="A57" s="111"/>
      <c r="C57" s="111"/>
      <c r="D57" s="111"/>
      <c r="J57" s="111"/>
      <c r="K57" s="111"/>
      <c r="L57" s="111"/>
    </row>
    <row r="58">
      <c r="A58" s="111"/>
      <c r="C58" s="111"/>
      <c r="D58" s="111"/>
      <c r="J58" s="111"/>
      <c r="K58" s="111"/>
      <c r="L58" s="111"/>
    </row>
    <row r="59">
      <c r="A59" s="111"/>
      <c r="C59" s="111"/>
      <c r="D59" s="111"/>
      <c r="J59" s="111"/>
      <c r="K59" s="111"/>
      <c r="L59" s="11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13"/>
    <col customWidth="1" min="3" max="3" width="17.38"/>
    <col customWidth="1" min="4" max="4" width="26.88"/>
    <col customWidth="1" min="5" max="5" width="39.88"/>
    <col customWidth="1" min="6" max="6" width="18.25"/>
  </cols>
  <sheetData>
    <row r="2">
      <c r="A2" s="2" t="s">
        <v>800</v>
      </c>
      <c r="B2" s="2" t="s">
        <v>259</v>
      </c>
    </row>
    <row r="3">
      <c r="F3" s="3" t="s">
        <v>2</v>
      </c>
      <c r="G3" s="62"/>
    </row>
    <row r="4">
      <c r="A4" s="4" t="s">
        <v>3</v>
      </c>
      <c r="B4" s="4" t="s">
        <v>4</v>
      </c>
      <c r="C4" s="4" t="s">
        <v>5</v>
      </c>
      <c r="D4" s="4" t="s">
        <v>6</v>
      </c>
      <c r="E4" s="4" t="s">
        <v>7</v>
      </c>
      <c r="F4" s="6">
        <v>45323.0</v>
      </c>
      <c r="G4" s="6">
        <v>45352.0</v>
      </c>
      <c r="H4" s="6">
        <v>45383.0</v>
      </c>
      <c r="I4" s="6">
        <v>45413.0</v>
      </c>
      <c r="J4" s="6">
        <v>45444.0</v>
      </c>
      <c r="K4" s="6">
        <v>45474.0</v>
      </c>
      <c r="L4" s="9">
        <v>45505.0</v>
      </c>
      <c r="M4" s="11"/>
      <c r="N4" s="10"/>
      <c r="O4" s="10"/>
      <c r="P4" s="10"/>
      <c r="Q4" s="10"/>
    </row>
    <row r="5">
      <c r="A5" s="22">
        <v>1.0</v>
      </c>
      <c r="B5" s="104" t="s">
        <v>801</v>
      </c>
      <c r="C5" s="22" t="s">
        <v>463</v>
      </c>
      <c r="D5" s="88" t="s">
        <v>173</v>
      </c>
      <c r="E5" s="91" t="str">
        <f>HYPERLINK("https://www.akiyabanks.com/error", "Link to " &amp; "Tochigi Prefrecture : " &amp; $B5 &amp;" City")</f>
        <v>Link to Tochigi Prefrecture : Shirakawa City City</v>
      </c>
      <c r="F5" s="22"/>
      <c r="G5" s="23"/>
      <c r="H5" s="23"/>
      <c r="I5" s="23"/>
      <c r="J5" s="22"/>
      <c r="K5" s="22"/>
      <c r="L5" s="22"/>
      <c r="M5" s="23"/>
      <c r="N5" s="24"/>
      <c r="O5" s="24"/>
      <c r="P5" s="24"/>
      <c r="Q5" s="24"/>
      <c r="R5" s="25"/>
      <c r="S5" s="25"/>
      <c r="T5" s="25"/>
      <c r="U5" s="25"/>
      <c r="V5" s="25"/>
      <c r="W5" s="25"/>
      <c r="X5" s="25"/>
      <c r="Y5" s="25"/>
    </row>
    <row r="6">
      <c r="A6" s="29">
        <f t="shared" ref="A6:A46" si="1">$A5+1</f>
        <v>2</v>
      </c>
      <c r="B6" s="1" t="s">
        <v>802</v>
      </c>
      <c r="C6" s="29" t="s">
        <v>375</v>
      </c>
      <c r="D6" s="29" t="s">
        <v>162</v>
      </c>
      <c r="E6" s="90" t="str">
        <f>HYPERLINK("https://kurashi-enalifebizsupport-jp.translate.goog/akiyabank/?_x_tr_sl=ja&amp;_x_tr_tl=en&amp;_x_tr_hl=en-GB", "Link to " &amp; "Tochigi Prefrecture : " &amp; $B6 &amp;" City")</f>
        <v>Link to Tochigi Prefrecture : Tamakawa Village City</v>
      </c>
      <c r="F6" s="29"/>
      <c r="G6" s="31"/>
      <c r="H6" s="31"/>
      <c r="I6" s="31"/>
      <c r="J6" s="29"/>
      <c r="K6" s="29"/>
      <c r="L6" s="29"/>
      <c r="M6" s="31"/>
      <c r="N6" s="32"/>
      <c r="O6" s="32"/>
      <c r="P6" s="32"/>
      <c r="Q6" s="32"/>
      <c r="R6" s="33"/>
      <c r="S6" s="33"/>
      <c r="T6" s="33"/>
      <c r="U6" s="33"/>
      <c r="V6" s="33"/>
      <c r="W6" s="33"/>
      <c r="X6" s="33"/>
      <c r="Y6" s="33"/>
    </row>
    <row r="7">
      <c r="A7" s="22">
        <f t="shared" si="1"/>
        <v>3</v>
      </c>
      <c r="B7" s="99" t="s">
        <v>803</v>
      </c>
      <c r="C7" s="22" t="s">
        <v>375</v>
      </c>
      <c r="D7" s="22" t="s">
        <v>173</v>
      </c>
      <c r="E7" s="91" t="str">
        <f>HYPERLINK("https://www-city-gero-lg-jp.translate.goog/site/ijyu-teijyu/list10.html?_x_tr_sl=ja&amp;_x_tr_tl=en&amp;_x_tr_hl=en-GB", "Link to " &amp; "Tochigi Prefrecture : " &amp; $B7 &amp;" City")</f>
        <v>Link to Tochigi Prefrecture : Yabuki Town City</v>
      </c>
      <c r="F7" s="22"/>
      <c r="G7" s="23"/>
      <c r="H7" s="23"/>
      <c r="I7" s="23"/>
      <c r="J7" s="22"/>
      <c r="K7" s="22"/>
      <c r="L7" s="22"/>
      <c r="M7" s="23"/>
      <c r="N7" s="24"/>
      <c r="O7" s="24"/>
      <c r="P7" s="24"/>
      <c r="Q7" s="24"/>
      <c r="R7" s="25"/>
      <c r="S7" s="25"/>
      <c r="T7" s="25"/>
      <c r="U7" s="25"/>
      <c r="V7" s="25"/>
      <c r="W7" s="25"/>
      <c r="X7" s="25"/>
      <c r="Y7" s="25"/>
    </row>
    <row r="8">
      <c r="A8" s="22">
        <f t="shared" si="1"/>
        <v>4</v>
      </c>
      <c r="B8" s="99" t="s">
        <v>762</v>
      </c>
      <c r="C8" s="22" t="s">
        <v>463</v>
      </c>
      <c r="D8" s="22" t="s">
        <v>173</v>
      </c>
      <c r="E8" s="91" t="str">
        <f t="shared" ref="E8:E9" si="2">HYPERLINK("https://www.akiyabanks.com/error", "Link to " &amp; "Tochigi Prefrecture : " &amp; $B8 &amp;" City")</f>
        <v>Link to Tochigi Prefrecture : Gifu City</v>
      </c>
      <c r="F8" s="22"/>
      <c r="G8" s="23"/>
      <c r="H8" s="23"/>
      <c r="I8" s="23"/>
      <c r="J8" s="22"/>
      <c r="K8" s="22"/>
      <c r="L8" s="22"/>
      <c r="M8" s="23"/>
      <c r="N8" s="24"/>
      <c r="O8" s="24"/>
      <c r="P8" s="24"/>
      <c r="Q8" s="24"/>
      <c r="R8" s="25"/>
      <c r="S8" s="25"/>
      <c r="T8" s="25"/>
      <c r="U8" s="25"/>
      <c r="V8" s="25"/>
      <c r="W8" s="25"/>
      <c r="X8" s="25"/>
      <c r="Y8" s="25"/>
    </row>
    <row r="9">
      <c r="A9" s="22">
        <f t="shared" si="1"/>
        <v>5</v>
      </c>
      <c r="B9" s="22" t="s">
        <v>766</v>
      </c>
      <c r="C9" s="22" t="s">
        <v>463</v>
      </c>
      <c r="D9" s="22" t="s">
        <v>173</v>
      </c>
      <c r="E9" s="91" t="str">
        <f t="shared" si="2"/>
        <v>Link to Tochigi Prefrecture : Ginan City</v>
      </c>
      <c r="F9" s="22"/>
      <c r="G9" s="23"/>
      <c r="H9" s="23"/>
      <c r="I9" s="23"/>
      <c r="J9" s="22"/>
      <c r="K9" s="22"/>
      <c r="L9" s="22"/>
      <c r="M9" s="23"/>
      <c r="N9" s="24"/>
      <c r="O9" s="24"/>
      <c r="P9" s="24"/>
      <c r="Q9" s="24"/>
      <c r="R9" s="25"/>
      <c r="S9" s="25"/>
      <c r="T9" s="25"/>
      <c r="U9" s="25"/>
      <c r="V9" s="25"/>
      <c r="W9" s="25"/>
      <c r="X9" s="25"/>
      <c r="Y9" s="25"/>
    </row>
    <row r="10">
      <c r="A10" s="34">
        <f t="shared" si="1"/>
        <v>6</v>
      </c>
      <c r="B10" s="100" t="s">
        <v>767</v>
      </c>
      <c r="C10" s="34" t="s">
        <v>375</v>
      </c>
      <c r="D10" s="93" t="s">
        <v>130</v>
      </c>
      <c r="E10" s="89" t="str">
        <f>HYPERLINK("https://www-city-gujo-gifu-jp.translate.goog/life/detail/3-12.html?_x_tr_sl=ja&amp;_x_tr_tl=en&amp;_x_tr_hl=en-GB", "Link to " &amp; "Tochigi Prefrecture : " &amp; $B10 &amp;" City")</f>
        <v>Link to Tochigi Prefrecture : Gujō City</v>
      </c>
      <c r="F10" s="36"/>
      <c r="G10" s="36"/>
      <c r="H10" s="36"/>
      <c r="I10" s="36"/>
      <c r="J10" s="34"/>
      <c r="K10" s="34"/>
      <c r="L10" s="34"/>
      <c r="M10" s="36"/>
      <c r="N10" s="37"/>
      <c r="O10" s="37"/>
      <c r="P10" s="37"/>
      <c r="Q10" s="37"/>
      <c r="R10" s="38"/>
      <c r="S10" s="38"/>
      <c r="T10" s="38"/>
      <c r="U10" s="38"/>
      <c r="V10" s="38"/>
      <c r="W10" s="38"/>
      <c r="X10" s="38"/>
      <c r="Y10" s="38"/>
    </row>
    <row r="11">
      <c r="A11" s="34">
        <f t="shared" si="1"/>
        <v>7</v>
      </c>
      <c r="B11" s="100" t="s">
        <v>768</v>
      </c>
      <c r="C11" s="34" t="s">
        <v>375</v>
      </c>
      <c r="D11" s="34" t="s">
        <v>130</v>
      </c>
      <c r="E11" s="89" t="str">
        <f>HYPERLINK("https://www-godo--akiya-jp.translate.goog/search.html?_x_tr_sl=ja&amp;_x_tr_tl=en&amp;_x_tr_hl=en-GB", "Link to " &amp; "Tochigi Prefrecture : " &amp; $B11 &amp;" City")</f>
        <v>Link to Tochigi Prefrecture : Gōdo City</v>
      </c>
      <c r="F11" s="36"/>
      <c r="G11" s="36"/>
      <c r="H11" s="36"/>
      <c r="I11" s="36"/>
      <c r="J11" s="34"/>
      <c r="K11" s="34"/>
      <c r="L11" s="34"/>
      <c r="M11" s="36"/>
      <c r="N11" s="37"/>
      <c r="O11" s="37"/>
      <c r="P11" s="37"/>
      <c r="Q11" s="37"/>
      <c r="R11" s="38"/>
      <c r="S11" s="38"/>
      <c r="T11" s="38"/>
      <c r="U11" s="38"/>
      <c r="V11" s="38"/>
      <c r="W11" s="38"/>
      <c r="X11" s="38"/>
      <c r="Y11" s="38"/>
    </row>
    <row r="12">
      <c r="A12" s="22">
        <f t="shared" si="1"/>
        <v>8</v>
      </c>
      <c r="B12" s="99" t="s">
        <v>769</v>
      </c>
      <c r="C12" s="22" t="s">
        <v>463</v>
      </c>
      <c r="D12" s="22" t="s">
        <v>173</v>
      </c>
      <c r="E12" s="91" t="str">
        <f>HYPERLINK("https://www.akiyabanks.com/error", "Link to " &amp; "Tochigi Prefrecture : " &amp; $B12 &amp;" City")</f>
        <v>Link to Tochigi Prefrecture : Hashima City</v>
      </c>
      <c r="F12" s="22"/>
      <c r="G12" s="23"/>
      <c r="H12" s="23"/>
      <c r="I12" s="23"/>
      <c r="J12" s="22"/>
      <c r="K12" s="22"/>
      <c r="L12" s="22"/>
      <c r="M12" s="23"/>
      <c r="N12" s="24"/>
      <c r="O12" s="24"/>
      <c r="P12" s="24"/>
      <c r="Q12" s="24"/>
      <c r="R12" s="25"/>
      <c r="S12" s="25"/>
      <c r="T12" s="25"/>
      <c r="U12" s="25"/>
      <c r="V12" s="25"/>
      <c r="W12" s="25"/>
      <c r="X12" s="25"/>
      <c r="Y12" s="25"/>
    </row>
    <row r="13">
      <c r="A13" s="22">
        <f t="shared" si="1"/>
        <v>9</v>
      </c>
      <c r="B13" s="99" t="s">
        <v>770</v>
      </c>
      <c r="C13" s="22" t="s">
        <v>375</v>
      </c>
      <c r="D13" s="22" t="s">
        <v>173</v>
      </c>
      <c r="E13" s="91" t="str">
        <f>HYPERLINK("https://www-hichiso-jp.translate.goog/top/kanko/settled/bank/info/?_x_tr_sl=ja&amp;_x_tr_tl=en&amp;_x_tr_hl=en-GB", "Link to " &amp; "Tochigi Prefrecture : " &amp; $B13 &amp;" City")</f>
        <v>Link to Tochigi Prefrecture : Hichisō City</v>
      </c>
      <c r="F13" s="23"/>
      <c r="G13" s="23"/>
      <c r="H13" s="23"/>
      <c r="I13" s="23"/>
      <c r="J13" s="22"/>
      <c r="K13" s="22"/>
      <c r="L13" s="22"/>
      <c r="M13" s="23"/>
      <c r="N13" s="24"/>
      <c r="O13" s="24"/>
      <c r="P13" s="24"/>
      <c r="Q13" s="24"/>
      <c r="R13" s="25"/>
      <c r="S13" s="25"/>
      <c r="T13" s="25"/>
      <c r="U13" s="25"/>
      <c r="V13" s="25"/>
      <c r="W13" s="25"/>
      <c r="X13" s="25"/>
      <c r="Y13" s="25"/>
    </row>
    <row r="14">
      <c r="A14" s="34">
        <f t="shared" si="1"/>
        <v>10</v>
      </c>
      <c r="B14" s="100" t="s">
        <v>771</v>
      </c>
      <c r="C14" s="34" t="s">
        <v>375</v>
      </c>
      <c r="D14" s="34" t="s">
        <v>130</v>
      </c>
      <c r="E14" s="89" t="str">
        <f>HYPERLINK("https://www-city--hida-jp.translate.goog/sumutoko-net/bukken/for/sell/?_x_tr_sl=ja&amp;_x_tr_tl=en&amp;_x_tr_hl=en-GB", "Link to " &amp; "Tochigi Prefrecture : " &amp; $B14 &amp;" City")</f>
        <v>Link to Tochigi Prefrecture : Hida City</v>
      </c>
      <c r="F14" s="36"/>
      <c r="G14" s="36"/>
      <c r="H14" s="36"/>
      <c r="I14" s="36"/>
      <c r="J14" s="34"/>
      <c r="K14" s="34"/>
      <c r="L14" s="34"/>
      <c r="M14" s="36"/>
      <c r="N14" s="37"/>
      <c r="O14" s="37"/>
      <c r="P14" s="37"/>
      <c r="Q14" s="37"/>
      <c r="R14" s="38"/>
      <c r="S14" s="38"/>
      <c r="T14" s="38"/>
      <c r="U14" s="38"/>
      <c r="V14" s="38"/>
      <c r="W14" s="38"/>
      <c r="X14" s="38"/>
      <c r="Y14" s="38"/>
    </row>
    <row r="15">
      <c r="A15" s="34">
        <f t="shared" si="1"/>
        <v>11</v>
      </c>
      <c r="B15" s="100" t="s">
        <v>772</v>
      </c>
      <c r="C15" s="34" t="s">
        <v>375</v>
      </c>
      <c r="D15" s="34" t="s">
        <v>130</v>
      </c>
      <c r="E15" s="89" t="str">
        <f>HYPERLINK("https://www-vill-higashishirakawa-gifu-jp.translate.goog/kurashi/sumai/akiya/bukken/?fbclid=IwAR13y77Ca11V3zD6nHTi1_I02toHUkSx56SZpVgKrzX3QFopwGZIiKNZGfM&amp;_x_tr_sl=ja&amp;_x_tr_tl=en&amp;_x_tr_hl=en-GB#moku4", "Link to " &amp; "Tochigi Prefrecture : " &amp; $B15 &amp;" City")</f>
        <v>Link to Tochigi Prefrecture : Higashishirakawa City</v>
      </c>
      <c r="F15" s="36"/>
      <c r="G15" s="36"/>
      <c r="H15" s="36"/>
      <c r="I15" s="36"/>
      <c r="J15" s="34"/>
      <c r="K15" s="34"/>
      <c r="L15" s="34"/>
      <c r="M15" s="36"/>
      <c r="N15" s="37"/>
      <c r="O15" s="37"/>
      <c r="P15" s="37"/>
      <c r="Q15" s="37"/>
      <c r="R15" s="38"/>
      <c r="S15" s="38"/>
      <c r="T15" s="38"/>
      <c r="U15" s="38"/>
      <c r="V15" s="38"/>
      <c r="W15" s="38"/>
      <c r="X15" s="38"/>
      <c r="Y15" s="38"/>
    </row>
    <row r="16">
      <c r="A16" s="29">
        <f t="shared" si="1"/>
        <v>12</v>
      </c>
      <c r="B16" s="101" t="s">
        <v>773</v>
      </c>
      <c r="C16" s="29" t="s">
        <v>375</v>
      </c>
      <c r="D16" s="29" t="s">
        <v>162</v>
      </c>
      <c r="E16" s="90" t="str">
        <f>HYPERLINK("https://www-town-ibigawa-lg-jp.translate.goog/0000007177.html?_x_tr_sl=ja&amp;_x_tr_tl=en&amp;_x_tr_hl=en-GB", "Link to " &amp; "Tochigi Prefrecture : " &amp; $B16 &amp;" City")</f>
        <v>Link to Tochigi Prefrecture : Ibigawa City</v>
      </c>
      <c r="F16" s="31"/>
      <c r="G16" s="31"/>
      <c r="H16" s="31"/>
      <c r="I16" s="31"/>
      <c r="J16" s="29"/>
      <c r="K16" s="29"/>
      <c r="L16" s="29"/>
      <c r="M16" s="31"/>
      <c r="N16" s="32"/>
      <c r="O16" s="32"/>
      <c r="P16" s="32"/>
      <c r="Q16" s="32"/>
      <c r="R16" s="33"/>
      <c r="S16" s="33"/>
      <c r="T16" s="33"/>
      <c r="U16" s="33"/>
      <c r="V16" s="33"/>
      <c r="W16" s="33"/>
      <c r="X16" s="33"/>
      <c r="Y16" s="33"/>
    </row>
    <row r="17">
      <c r="A17" s="29">
        <f t="shared" si="1"/>
        <v>13</v>
      </c>
      <c r="B17" s="101" t="s">
        <v>103</v>
      </c>
      <c r="C17" s="29" t="s">
        <v>375</v>
      </c>
      <c r="D17" s="29" t="s">
        <v>162</v>
      </c>
      <c r="E17" s="90" t="str">
        <f>HYPERLINK("https://www-town-gifu--ikeda-lg-jp.translate.goog/live/0000002441.html?_x_tr_sl=ja&amp;_x_tr_tl=en&amp;_x_tr_hl=en-GB", "Link to " &amp; "Tochigi Prefrecture : " &amp; $B17 &amp;" City")</f>
        <v>Link to Tochigi Prefrecture : Ikeda City</v>
      </c>
      <c r="F17" s="29"/>
      <c r="G17" s="31"/>
      <c r="H17" s="31"/>
      <c r="I17" s="31"/>
      <c r="J17" s="29"/>
      <c r="K17" s="29"/>
      <c r="L17" s="29"/>
      <c r="M17" s="31"/>
      <c r="N17" s="32"/>
      <c r="O17" s="32"/>
      <c r="P17" s="32"/>
      <c r="Q17" s="32"/>
      <c r="R17" s="33"/>
      <c r="S17" s="33"/>
      <c r="T17" s="33"/>
      <c r="U17" s="33"/>
      <c r="V17" s="33"/>
      <c r="W17" s="33"/>
      <c r="X17" s="33"/>
      <c r="Y17" s="33"/>
    </row>
    <row r="18">
      <c r="A18" s="34">
        <f t="shared" si="1"/>
        <v>14</v>
      </c>
      <c r="B18" s="100" t="s">
        <v>774</v>
      </c>
      <c r="C18" s="34" t="s">
        <v>375</v>
      </c>
      <c r="D18" s="93" t="s">
        <v>130</v>
      </c>
      <c r="E18" s="89" t="str">
        <f>HYPERLINK("https://www-city-kaizu-lg-jp.translate.goog/kurashi/0000001552.html?_x_tr_sl=ja&amp;_x_tr_tl=en&amp;_x_tr_hl=en-GB", "Link to " &amp; "Tochigi Prefrecture : " &amp; $B18 &amp;" City")</f>
        <v>Link to Tochigi Prefrecture : Kaizu City</v>
      </c>
      <c r="F18" s="36"/>
      <c r="G18" s="36"/>
      <c r="H18" s="36"/>
      <c r="I18" s="36"/>
      <c r="J18" s="34"/>
      <c r="K18" s="34"/>
      <c r="L18" s="34"/>
      <c r="M18" s="36"/>
      <c r="N18" s="37"/>
      <c r="O18" s="37"/>
      <c r="P18" s="37"/>
      <c r="Q18" s="37"/>
      <c r="R18" s="38"/>
      <c r="S18" s="38"/>
      <c r="T18" s="38"/>
      <c r="U18" s="38"/>
      <c r="V18" s="38"/>
      <c r="W18" s="38"/>
      <c r="X18" s="38"/>
      <c r="Y18" s="38"/>
    </row>
    <row r="19">
      <c r="A19" s="29">
        <f t="shared" si="1"/>
        <v>15</v>
      </c>
      <c r="B19" s="101" t="s">
        <v>775</v>
      </c>
      <c r="C19" s="29" t="s">
        <v>375</v>
      </c>
      <c r="D19" s="92" t="s">
        <v>162</v>
      </c>
      <c r="E19" s="90" t="str">
        <f>HYPERLINK("https://www-city-kakamigahara-lg-jp.translate.goog/life/sumai/1001774/1001776.html?_x_tr_sl=ja&amp;_x_tr_tl=en&amp;_x_tr_hl=en-GB", "Link to " &amp; "Tochigi Prefrecture : " &amp; $B19 &amp;" City")</f>
        <v>Link to Tochigi Prefrecture : Kakamigahara City</v>
      </c>
      <c r="F19" s="29"/>
      <c r="G19" s="31"/>
      <c r="H19" s="31"/>
      <c r="I19" s="31"/>
      <c r="J19" s="29"/>
      <c r="K19" s="29"/>
      <c r="L19" s="29"/>
      <c r="M19" s="31"/>
      <c r="N19" s="32"/>
      <c r="O19" s="32"/>
      <c r="P19" s="32"/>
      <c r="Q19" s="32"/>
      <c r="R19" s="33"/>
      <c r="S19" s="33"/>
      <c r="T19" s="33"/>
      <c r="U19" s="33"/>
      <c r="V19" s="33"/>
      <c r="W19" s="33"/>
      <c r="X19" s="33"/>
      <c r="Y19" s="33"/>
    </row>
    <row r="20">
      <c r="A20" s="22">
        <f t="shared" si="1"/>
        <v>16</v>
      </c>
      <c r="B20" s="99" t="s">
        <v>776</v>
      </c>
      <c r="C20" s="22" t="s">
        <v>375</v>
      </c>
      <c r="D20" s="88" t="s">
        <v>173</v>
      </c>
      <c r="E20" s="91" t="str">
        <f>HYPERLINK("https://kani--suki-jp.translate.goog/life/house/institution/result.html?utf8=%E2%9C%93&amp;_x_tr_sl=ja&amp;_x_tr_tl=en&amp;_x_tr_hl=en-GB", "Link to " &amp; "Tochigi Prefrecture : " &amp; $B20 &amp;" City")</f>
        <v>Link to Tochigi Prefrecture : Kani City</v>
      </c>
      <c r="F20" s="22"/>
      <c r="G20" s="23"/>
      <c r="H20" s="23"/>
      <c r="I20" s="23"/>
      <c r="J20" s="22"/>
      <c r="K20" s="22"/>
      <c r="L20" s="22"/>
      <c r="M20" s="23"/>
      <c r="N20" s="24"/>
      <c r="O20" s="24"/>
      <c r="P20" s="24"/>
      <c r="Q20" s="24"/>
      <c r="R20" s="25"/>
      <c r="S20" s="25"/>
      <c r="T20" s="25"/>
      <c r="U20" s="25"/>
      <c r="V20" s="25"/>
      <c r="W20" s="25"/>
      <c r="X20" s="25"/>
      <c r="Y20" s="25"/>
    </row>
    <row r="21">
      <c r="A21" s="22">
        <f t="shared" si="1"/>
        <v>17</v>
      </c>
      <c r="B21" s="99" t="s">
        <v>777</v>
      </c>
      <c r="C21" s="22" t="s">
        <v>463</v>
      </c>
      <c r="D21" s="22" t="s">
        <v>173</v>
      </c>
      <c r="E21" s="91" t="str">
        <f>HYPERLINK("https://www.akiyabanks.com/error", "Link to " &amp; "Tochigi Prefrecture : " &amp; $B21 &amp;" City")</f>
        <v>Link to Tochigi Prefrecture : Kasamatsu City</v>
      </c>
      <c r="F21" s="22"/>
      <c r="G21" s="23"/>
      <c r="H21" s="23"/>
      <c r="I21" s="23"/>
      <c r="J21" s="22"/>
      <c r="K21" s="22"/>
      <c r="L21" s="22"/>
      <c r="M21" s="23"/>
      <c r="N21" s="24"/>
      <c r="O21" s="24"/>
      <c r="P21" s="24"/>
      <c r="Q21" s="24"/>
      <c r="R21" s="25"/>
      <c r="S21" s="25"/>
      <c r="T21" s="25"/>
      <c r="U21" s="25"/>
      <c r="V21" s="25"/>
      <c r="W21" s="25"/>
      <c r="X21" s="25"/>
      <c r="Y21" s="25"/>
    </row>
    <row r="22">
      <c r="A22" s="29">
        <f t="shared" si="1"/>
        <v>18</v>
      </c>
      <c r="B22" s="101" t="s">
        <v>778</v>
      </c>
      <c r="C22" s="29" t="s">
        <v>375</v>
      </c>
      <c r="D22" s="92" t="s">
        <v>162</v>
      </c>
      <c r="E22" s="90" t="str">
        <f>HYPERLINK("https://www-kawabe--gifu-jp.translate.goog/?page_id=16351&amp;_x_tr_sl=ja&amp;_x_tr_tl=en&amp;_x_tr_hl=en-GB", "Link to " &amp; "Tochigi Prefrecture : " &amp; $B22 &amp;" City")</f>
        <v>Link to Tochigi Prefrecture : Kawabe City</v>
      </c>
      <c r="F22" s="31"/>
      <c r="G22" s="31"/>
      <c r="H22" s="31"/>
      <c r="I22" s="31"/>
      <c r="J22" s="29"/>
      <c r="K22" s="29"/>
      <c r="L22" s="29"/>
      <c r="M22" s="31"/>
      <c r="N22" s="32"/>
      <c r="O22" s="32"/>
      <c r="P22" s="32"/>
      <c r="Q22" s="32"/>
      <c r="R22" s="33"/>
      <c r="S22" s="33"/>
      <c r="T22" s="33"/>
      <c r="U22" s="33"/>
      <c r="V22" s="33"/>
      <c r="W22" s="33"/>
      <c r="X22" s="33"/>
      <c r="Y22" s="33"/>
    </row>
    <row r="23">
      <c r="A23" s="22">
        <f t="shared" si="1"/>
        <v>19</v>
      </c>
      <c r="B23" s="99" t="s">
        <v>779</v>
      </c>
      <c r="C23" s="22" t="s">
        <v>375</v>
      </c>
      <c r="D23" s="22" t="s">
        <v>173</v>
      </c>
      <c r="E23" s="91" t="str">
        <f>HYPERLINK("https://www-town-kitagata-gifu-jp.translate.goog/fourth/vacant_house_bank/vacant_house_bank_infomation.html?_x_tr_sl=ja&amp;_x_tr_tl=en&amp;_x_tr_hl=en-GB", "Link to " &amp; "Tochigi Prefrecture : " &amp; $B23 &amp;" City")</f>
        <v>Link to Tochigi Prefrecture : Kitagata City</v>
      </c>
      <c r="F23" s="22"/>
      <c r="G23" s="23"/>
      <c r="H23" s="23"/>
      <c r="I23" s="23"/>
      <c r="J23" s="22"/>
      <c r="K23" s="22"/>
      <c r="L23" s="22"/>
      <c r="M23" s="23"/>
      <c r="N23" s="24"/>
      <c r="O23" s="24"/>
      <c r="P23" s="24"/>
      <c r="Q23" s="24"/>
      <c r="R23" s="25"/>
      <c r="S23" s="25"/>
      <c r="T23" s="25"/>
      <c r="U23" s="25"/>
      <c r="V23" s="25"/>
      <c r="W23" s="25"/>
      <c r="X23" s="25"/>
      <c r="Y23" s="25"/>
    </row>
    <row r="24">
      <c r="A24" s="34">
        <f t="shared" si="1"/>
        <v>20</v>
      </c>
      <c r="B24" s="100" t="s">
        <v>780</v>
      </c>
      <c r="C24" s="34" t="s">
        <v>375</v>
      </c>
      <c r="D24" s="34" t="s">
        <v>130</v>
      </c>
      <c r="E24" s="89" t="str">
        <f>HYPERLINK("https://npomino-jp.translate.goog/?_x_tr_sl=ja&amp;_x_tr_tl=en&amp;_x_tr_hl=en-GB", "Link to " &amp; "Tochigi Prefrecture : " &amp; $B24 &amp;" City")</f>
        <v>Link to Tochigi Prefrecture : Mino City</v>
      </c>
      <c r="F24" s="34"/>
      <c r="G24" s="36"/>
      <c r="H24" s="36"/>
      <c r="I24" s="36"/>
      <c r="J24" s="34"/>
      <c r="K24" s="34"/>
      <c r="L24" s="34"/>
      <c r="M24" s="36"/>
      <c r="N24" s="37"/>
      <c r="O24" s="37"/>
      <c r="P24" s="37"/>
      <c r="Q24" s="37"/>
      <c r="R24" s="38"/>
      <c r="S24" s="38"/>
      <c r="T24" s="38"/>
      <c r="U24" s="38"/>
      <c r="V24" s="38"/>
      <c r="W24" s="38"/>
      <c r="X24" s="38"/>
      <c r="Y24" s="38"/>
    </row>
    <row r="25">
      <c r="A25" s="22">
        <f t="shared" si="1"/>
        <v>21</v>
      </c>
      <c r="B25" s="99" t="s">
        <v>781</v>
      </c>
      <c r="C25" s="22" t="s">
        <v>375</v>
      </c>
      <c r="D25" s="22" t="s">
        <v>173</v>
      </c>
      <c r="E25" s="91" t="str">
        <f>HYPERLINK("https://minokamojikan.jp/live_result?%E3%82%A8%E3%83%AA%E3%82%A2%5B%5D=oota&amp;%E3%82%A8%E3%83%AA%E3%82%A2%5B%5D=kobi&amp;%E3%82%A8%E3%83%AA%E3%82%A2%5B%5D=yamanoue&amp;%E3%82%A8%E3%83%AA%E3%82%A2%5B%5D=hachiya&amp;%E3%82%A8%E3%83%AA%E3%82%A2%5B%5D=kamono&amp;%E3%82%A8%E3%8"&amp;"3%AA%E3%82%A2%5B%5D=ibuka&amp;%E3%82%A8%E3%83%AA%E3%82%A2%5B%5D=miwa&amp;%E3%82%A8%E3%83%AA%E3%82%A2%5B%5D=simoyoneda", "Link to " &amp; "Tochigi Prefrecture : " &amp; $B25 &amp;" City")</f>
        <v>Link to Tochigi Prefrecture : Minokamo City</v>
      </c>
      <c r="F25" s="23"/>
      <c r="G25" s="22"/>
      <c r="H25" s="23"/>
      <c r="I25" s="23"/>
      <c r="J25" s="22"/>
      <c r="K25" s="22"/>
      <c r="L25" s="22"/>
      <c r="M25" s="23"/>
      <c r="N25" s="24"/>
      <c r="O25" s="24"/>
      <c r="P25" s="24"/>
      <c r="Q25" s="24"/>
      <c r="R25" s="25"/>
      <c r="S25" s="25"/>
      <c r="T25" s="25"/>
      <c r="U25" s="25"/>
      <c r="V25" s="25"/>
      <c r="W25" s="25"/>
      <c r="X25" s="25"/>
      <c r="Y25" s="25"/>
    </row>
    <row r="26">
      <c r="A26" s="29">
        <f t="shared" si="1"/>
        <v>22</v>
      </c>
      <c r="B26" s="101" t="s">
        <v>782</v>
      </c>
      <c r="C26" s="29" t="s">
        <v>375</v>
      </c>
      <c r="D26" s="29" t="s">
        <v>162</v>
      </c>
      <c r="E26" s="90" t="str">
        <f>HYPERLINK("https://mitake--gurashi-jp.translate.goog/ijyu/property-list.html?_x_tr_sl=ja&amp;_x_tr_tl=en&amp;_x_tr_hl=en-GB", "Link to " &amp; "Tochigi Prefrecture : " &amp; $B26 &amp;" City")</f>
        <v>Link to Tochigi Prefrecture : Mitake City</v>
      </c>
      <c r="F26" s="31"/>
      <c r="G26" s="31"/>
      <c r="H26" s="31"/>
      <c r="I26" s="31"/>
      <c r="J26" s="29"/>
      <c r="K26" s="29"/>
      <c r="L26" s="29"/>
      <c r="M26" s="31"/>
      <c r="N26" s="32"/>
      <c r="O26" s="32"/>
      <c r="P26" s="32"/>
      <c r="Q26" s="32"/>
      <c r="R26" s="33"/>
      <c r="S26" s="33"/>
      <c r="T26" s="33"/>
      <c r="U26" s="33"/>
      <c r="V26" s="33"/>
      <c r="W26" s="33"/>
      <c r="X26" s="33"/>
      <c r="Y26" s="33"/>
    </row>
    <row r="27">
      <c r="A27" s="22">
        <f t="shared" si="1"/>
        <v>23</v>
      </c>
      <c r="B27" s="99" t="s">
        <v>76</v>
      </c>
      <c r="C27" s="22" t="s">
        <v>463</v>
      </c>
      <c r="D27" s="22" t="s">
        <v>173</v>
      </c>
      <c r="E27" s="91" t="str">
        <f>HYPERLINK("https://www.akiyabanks.com/error", "Link to " &amp; "Tochigi Prefrecture : " &amp; $B27 &amp;" City")</f>
        <v>Link to Tochigi Prefrecture : Mizuho City</v>
      </c>
      <c r="F27" s="23"/>
      <c r="G27" s="23"/>
      <c r="H27" s="23"/>
      <c r="I27" s="23"/>
      <c r="J27" s="22"/>
      <c r="K27" s="22"/>
      <c r="L27" s="22"/>
      <c r="M27" s="23"/>
      <c r="N27" s="24"/>
      <c r="O27" s="24"/>
      <c r="P27" s="24"/>
      <c r="Q27" s="24"/>
      <c r="R27" s="25"/>
      <c r="S27" s="25"/>
      <c r="T27" s="25"/>
      <c r="U27" s="25"/>
      <c r="V27" s="25"/>
      <c r="W27" s="25"/>
      <c r="X27" s="25"/>
      <c r="Y27" s="25"/>
    </row>
    <row r="28">
      <c r="A28" s="22">
        <f t="shared" si="1"/>
        <v>24</v>
      </c>
      <c r="B28" s="99" t="s">
        <v>783</v>
      </c>
      <c r="C28" s="22" t="s">
        <v>375</v>
      </c>
      <c r="D28" s="22" t="s">
        <v>173</v>
      </c>
      <c r="E28" s="91" t="str">
        <f>HYPERLINK("https://www-city-mizunami-lg-jp.translate.goog/kurashi/sumai/1001528/1001529.html?_x_tr_sl=ja&amp;_x_tr_tl=en&amp;_x_tr_hl=en-GB", "Link to " &amp; "Tochigi Prefrecture : " &amp; $B28 &amp;" City")</f>
        <v>Link to Tochigi Prefrecture : Mizunami City</v>
      </c>
      <c r="F28" s="22"/>
      <c r="G28" s="23"/>
      <c r="H28" s="23"/>
      <c r="I28" s="23"/>
      <c r="J28" s="22"/>
      <c r="K28" s="22"/>
      <c r="L28" s="22"/>
      <c r="M28" s="23"/>
      <c r="N28" s="24"/>
      <c r="O28" s="24"/>
      <c r="P28" s="24"/>
      <c r="Q28" s="24"/>
      <c r="R28" s="25"/>
      <c r="S28" s="25"/>
      <c r="T28" s="25"/>
      <c r="U28" s="25"/>
      <c r="V28" s="25"/>
      <c r="W28" s="25"/>
      <c r="X28" s="25"/>
      <c r="Y28" s="25"/>
    </row>
    <row r="29">
      <c r="A29" s="29">
        <f t="shared" si="1"/>
        <v>25</v>
      </c>
      <c r="B29" s="101" t="s">
        <v>784</v>
      </c>
      <c r="C29" s="29" t="s">
        <v>375</v>
      </c>
      <c r="D29" s="29" t="s">
        <v>162</v>
      </c>
      <c r="E29" s="90" t="str">
        <f>HYPERLINK("https://www-city-motosu-lg-jp.translate.goog/iju/0000000178.html?_x_tr_sl=ja&amp;_x_tr_tl=en&amp;_x_tr_hl=en-GB", "Link to " &amp; "Tochigi Prefrecture : " &amp; $B29 &amp;" City")</f>
        <v>Link to Tochigi Prefrecture : Motosu City</v>
      </c>
      <c r="F29" s="29"/>
      <c r="G29" s="31"/>
      <c r="H29" s="31"/>
      <c r="I29" s="31"/>
      <c r="J29" s="29"/>
      <c r="K29" s="29"/>
      <c r="L29" s="29"/>
      <c r="M29" s="31"/>
      <c r="N29" s="32"/>
      <c r="O29" s="32"/>
      <c r="P29" s="32"/>
      <c r="Q29" s="32"/>
      <c r="R29" s="33"/>
      <c r="S29" s="33"/>
      <c r="T29" s="33"/>
      <c r="U29" s="33"/>
      <c r="V29" s="33"/>
      <c r="W29" s="33"/>
      <c r="X29" s="33"/>
      <c r="Y29" s="33"/>
    </row>
    <row r="30">
      <c r="A30" s="34">
        <f t="shared" si="1"/>
        <v>26</v>
      </c>
      <c r="B30" s="100" t="s">
        <v>785</v>
      </c>
      <c r="C30" s="34" t="s">
        <v>375</v>
      </c>
      <c r="D30" s="34" t="s">
        <v>130</v>
      </c>
      <c r="E30" s="89" t="str">
        <f>HYPERLINK("https://www-nakatugawa-com.translate.goog/sellhouse?_x_tr_sl=ja&amp;_x_tr_tl=en&amp;_x_tr_hl=en-GB", "Link to " &amp; "Tochigi Prefrecture : " &amp; $B30 &amp;" City")</f>
        <v>Link to Tochigi Prefrecture : Nakatsugawa City</v>
      </c>
      <c r="F30" s="36"/>
      <c r="G30" s="36"/>
      <c r="H30" s="36"/>
      <c r="I30" s="36"/>
      <c r="J30" s="34"/>
      <c r="K30" s="34"/>
      <c r="L30" s="34"/>
      <c r="M30" s="36"/>
      <c r="N30" s="37"/>
      <c r="O30" s="37"/>
      <c r="P30" s="37"/>
      <c r="Q30" s="37"/>
      <c r="R30" s="38"/>
      <c r="S30" s="38"/>
      <c r="T30" s="38"/>
      <c r="U30" s="38"/>
      <c r="V30" s="38"/>
      <c r="W30" s="38"/>
      <c r="X30" s="38"/>
      <c r="Y30" s="38"/>
    </row>
    <row r="31">
      <c r="A31" s="34">
        <f t="shared" si="1"/>
        <v>27</v>
      </c>
      <c r="B31" s="80" t="s">
        <v>786</v>
      </c>
      <c r="C31" s="34" t="s">
        <v>375</v>
      </c>
      <c r="D31" s="34" t="s">
        <v>130</v>
      </c>
      <c r="E31" s="89" t="str">
        <f>HYPERLINK("https://www-town-sakahogi-gifu-jp.translate.goog/diary/?page_id=2309&amp;_x_tr_sl=ja&amp;_x_tr_tl=en&amp;_x_tr_hl=en-GB", "Link to " &amp; "Tochigi Prefrecture : " &amp; $B31 &amp;" City")</f>
        <v>Link to Tochigi Prefrecture : Sakahogi City</v>
      </c>
      <c r="F31" s="34"/>
      <c r="G31" s="36"/>
      <c r="H31" s="36"/>
      <c r="I31" s="36"/>
      <c r="J31" s="34"/>
      <c r="K31" s="34"/>
      <c r="L31" s="34"/>
      <c r="M31" s="36"/>
      <c r="N31" s="36"/>
      <c r="O31" s="37"/>
      <c r="P31" s="37"/>
      <c r="Q31" s="37"/>
      <c r="R31" s="38"/>
      <c r="S31" s="38"/>
      <c r="T31" s="38"/>
      <c r="U31" s="38"/>
      <c r="V31" s="38"/>
      <c r="W31" s="38"/>
      <c r="X31" s="38"/>
      <c r="Y31" s="38"/>
    </row>
    <row r="32">
      <c r="A32" s="29">
        <f t="shared" si="1"/>
        <v>28</v>
      </c>
      <c r="B32" s="81" t="s">
        <v>787</v>
      </c>
      <c r="C32" s="29" t="s">
        <v>375</v>
      </c>
      <c r="D32" s="29" t="s">
        <v>162</v>
      </c>
      <c r="E32" s="90" t="str">
        <f>HYPERLINK("https://www-sekikurashi-com.translate.goog/house?_x_tr_sl=ja&amp;_x_tr_tl=en&amp;_x_tr_hl=en-GB", "Link to " &amp; "Tochigi Prefrecture : " &amp; $B32 &amp;" City")</f>
        <v>Link to Tochigi Prefrecture : Seki City</v>
      </c>
      <c r="F32" s="29"/>
      <c r="G32" s="31"/>
      <c r="H32" s="31"/>
      <c r="I32" s="31"/>
      <c r="J32" s="29"/>
      <c r="K32" s="29"/>
      <c r="L32" s="29"/>
      <c r="M32" s="31"/>
      <c r="N32" s="31"/>
      <c r="O32" s="32"/>
      <c r="P32" s="32"/>
      <c r="Q32" s="32"/>
      <c r="R32" s="33"/>
      <c r="S32" s="33"/>
      <c r="T32" s="33"/>
      <c r="U32" s="33"/>
      <c r="V32" s="33"/>
      <c r="W32" s="33"/>
      <c r="X32" s="33"/>
      <c r="Y32" s="33"/>
    </row>
    <row r="33">
      <c r="A33" s="29">
        <f t="shared" si="1"/>
        <v>29</v>
      </c>
      <c r="B33" s="81" t="s">
        <v>788</v>
      </c>
      <c r="C33" s="29" t="s">
        <v>375</v>
      </c>
      <c r="D33" s="92" t="s">
        <v>162</v>
      </c>
      <c r="E33" s="90" t="str">
        <f>HYPERLINK("https://www-town-sekigahara-gifu-jp.translate.goog/4566.htm?_x_tr_sl=ja&amp;_x_tr_tl=en&amp;_x_tr_hl=en-GB", "Link to " &amp; "Tochigi Prefrecture : " &amp; $B33 &amp;" City")</f>
        <v>Link to Tochigi Prefrecture : Sekigahara City</v>
      </c>
      <c r="F33" s="31"/>
      <c r="G33" s="31"/>
      <c r="H33" s="31"/>
      <c r="I33" s="31"/>
      <c r="J33" s="29"/>
      <c r="K33" s="29"/>
      <c r="L33" s="29"/>
      <c r="M33" s="31"/>
      <c r="N33" s="31"/>
      <c r="O33" s="32"/>
      <c r="P33" s="32"/>
      <c r="Q33" s="32"/>
      <c r="R33" s="33"/>
      <c r="S33" s="33"/>
      <c r="T33" s="33"/>
      <c r="U33" s="33"/>
      <c r="V33" s="33"/>
      <c r="W33" s="33"/>
      <c r="X33" s="33"/>
      <c r="Y33" s="33"/>
    </row>
    <row r="34">
      <c r="A34" s="22">
        <f t="shared" si="1"/>
        <v>30</v>
      </c>
      <c r="B34" s="87" t="s">
        <v>789</v>
      </c>
      <c r="C34" s="22" t="s">
        <v>463</v>
      </c>
      <c r="D34" s="22" t="s">
        <v>173</v>
      </c>
      <c r="E34" s="91" t="str">
        <f>HYPERLINK("https://www.akiyabanks.com/error", "Link to " &amp; "Tochigi Prefrecture : " &amp; $B34 &amp;" City")</f>
        <v>Link to Tochigi Prefrecture : Shirakawa Town City</v>
      </c>
      <c r="F34" s="23"/>
      <c r="G34" s="23"/>
      <c r="H34" s="23"/>
      <c r="I34" s="23"/>
      <c r="J34" s="22"/>
      <c r="K34" s="22"/>
      <c r="L34" s="22"/>
      <c r="M34" s="23"/>
      <c r="N34" s="23"/>
      <c r="O34" s="24"/>
      <c r="P34" s="24"/>
      <c r="Q34" s="24"/>
      <c r="R34" s="25"/>
      <c r="S34" s="25"/>
      <c r="T34" s="25"/>
      <c r="U34" s="25"/>
      <c r="V34" s="25"/>
      <c r="W34" s="25"/>
      <c r="X34" s="25"/>
      <c r="Y34" s="25"/>
    </row>
    <row r="35">
      <c r="A35" s="22">
        <f t="shared" si="1"/>
        <v>31</v>
      </c>
      <c r="B35" s="87" t="s">
        <v>790</v>
      </c>
      <c r="C35" s="22" t="s">
        <v>375</v>
      </c>
      <c r="D35" s="88" t="s">
        <v>173</v>
      </c>
      <c r="E35" s="91" t="str">
        <f>HYPERLINK("https://www-vill-shirakawa-lg-jp.translate.goog/1540.htm?_x_tr_sl=ja&amp;_x_tr_tl=en&amp;_x_tr_hl=en-GB", "Link to " &amp; "Tochigi Prefrecture : " &amp; $B35 &amp;" City")</f>
        <v>Link to Tochigi Prefrecture : Shirakawa Village City</v>
      </c>
      <c r="F35" s="23"/>
      <c r="G35" s="23"/>
      <c r="H35" s="23"/>
      <c r="I35" s="23"/>
      <c r="J35" s="22"/>
      <c r="K35" s="22"/>
      <c r="L35" s="22"/>
      <c r="M35" s="23"/>
      <c r="N35" s="23"/>
      <c r="O35" s="24"/>
      <c r="P35" s="24"/>
      <c r="Q35" s="24"/>
      <c r="R35" s="25"/>
      <c r="S35" s="25"/>
      <c r="T35" s="25"/>
      <c r="U35" s="25"/>
      <c r="V35" s="25"/>
      <c r="W35" s="25"/>
      <c r="X35" s="25"/>
      <c r="Y35" s="25"/>
    </row>
    <row r="36">
      <c r="A36" s="22">
        <f t="shared" si="1"/>
        <v>32</v>
      </c>
      <c r="B36" s="87" t="s">
        <v>791</v>
      </c>
      <c r="C36" s="22" t="s">
        <v>375</v>
      </c>
      <c r="D36" s="22" t="s">
        <v>173</v>
      </c>
      <c r="E36" s="91" t="str">
        <f>HYPERLINK("https://tajimi--akiyabank-jp.translate.goog/real-estate/index.html?_x_tr_sl=ja&amp;_x_tr_tl=en&amp;_x_tr_hl=en-GB#list", "Link to " &amp; "Tochigi Prefrecture : " &amp; $B36 &amp;" City")</f>
        <v>Link to Tochigi Prefrecture : Tajimi City</v>
      </c>
      <c r="F36" s="23"/>
      <c r="G36" s="23"/>
      <c r="H36" s="23"/>
      <c r="I36" s="23"/>
      <c r="J36" s="22"/>
      <c r="K36" s="22"/>
      <c r="L36" s="22"/>
      <c r="M36" s="23"/>
      <c r="N36" s="23"/>
      <c r="O36" s="24"/>
      <c r="P36" s="24"/>
      <c r="Q36" s="24"/>
      <c r="R36" s="25"/>
      <c r="S36" s="25"/>
      <c r="T36" s="25"/>
      <c r="U36" s="25"/>
      <c r="V36" s="25"/>
      <c r="W36" s="25"/>
      <c r="X36" s="25"/>
      <c r="Y36" s="25"/>
    </row>
    <row r="37">
      <c r="A37" s="34">
        <f t="shared" si="1"/>
        <v>33</v>
      </c>
      <c r="B37" s="80" t="s">
        <v>406</v>
      </c>
      <c r="C37" s="34" t="s">
        <v>375</v>
      </c>
      <c r="D37" s="34" t="s">
        <v>130</v>
      </c>
      <c r="E37" s="89" t="str">
        <f>HYPERLINK("https://www-city-takayama-lg-jp.translate.goog/shisei/1015214/1015625/1018203/index.html?_x_tr_sl=ja&amp;_x_tr_tl=en&amp;_x_tr_hl=en-GB", "Link to " &amp; "Tochigi Prefrecture : " &amp; $B37 &amp;" City")</f>
        <v>Link to Tochigi Prefrecture : Takayama City</v>
      </c>
      <c r="F37" s="36"/>
      <c r="G37" s="36"/>
      <c r="H37" s="36"/>
      <c r="I37" s="36"/>
      <c r="J37" s="34"/>
      <c r="K37" s="34"/>
      <c r="L37" s="34"/>
      <c r="M37" s="36"/>
      <c r="N37" s="36"/>
      <c r="O37" s="37"/>
      <c r="P37" s="37"/>
      <c r="Q37" s="37"/>
      <c r="R37" s="38"/>
      <c r="S37" s="38"/>
      <c r="T37" s="38"/>
      <c r="U37" s="38"/>
      <c r="V37" s="38"/>
      <c r="W37" s="38"/>
      <c r="X37" s="38"/>
      <c r="Y37" s="38"/>
    </row>
    <row r="38">
      <c r="A38" s="22">
        <f t="shared" si="1"/>
        <v>34</v>
      </c>
      <c r="B38" s="87" t="s">
        <v>792</v>
      </c>
      <c r="C38" s="22" t="s">
        <v>463</v>
      </c>
      <c r="D38" s="22" t="s">
        <v>173</v>
      </c>
      <c r="E38" s="91" t="str">
        <f>HYPERLINK("https://www.akiyabanks.com/error", "Link to " &amp; "Tochigi Prefrecture : " &amp; $B38 &amp;" City")</f>
        <v>Link to Tochigi Prefrecture : Tarui City</v>
      </c>
      <c r="F38" s="23"/>
      <c r="G38" s="23"/>
      <c r="H38" s="23"/>
      <c r="I38" s="23"/>
      <c r="J38" s="22"/>
      <c r="K38" s="22"/>
      <c r="L38" s="22"/>
      <c r="M38" s="23"/>
      <c r="N38" s="23"/>
      <c r="O38" s="24"/>
      <c r="P38" s="24"/>
      <c r="Q38" s="24"/>
      <c r="R38" s="25"/>
      <c r="S38" s="25"/>
      <c r="T38" s="25"/>
      <c r="U38" s="25"/>
      <c r="V38" s="25"/>
      <c r="W38" s="25"/>
      <c r="X38" s="25"/>
      <c r="Y38" s="25"/>
    </row>
    <row r="39">
      <c r="A39" s="22">
        <f t="shared" si="1"/>
        <v>35</v>
      </c>
      <c r="B39" s="87" t="s">
        <v>793</v>
      </c>
      <c r="C39" s="22" t="s">
        <v>375</v>
      </c>
      <c r="D39" s="22" t="s">
        <v>173</v>
      </c>
      <c r="E39" s="91" t="str">
        <f>HYPERLINK("https://www-city-toki-lg-jp.translate.goog/docs/hpg000009066.html?_x_tr_sl=ja&amp;_x_tr_tl=en&amp;_x_tr_hl=en-GB", "Link to " &amp; "Tochigi Prefrecture : " &amp; $B39 &amp;" City")</f>
        <v>Link to Tochigi Prefrecture : Toki City</v>
      </c>
      <c r="F39" s="23"/>
      <c r="G39" s="23"/>
      <c r="H39" s="23"/>
      <c r="I39" s="23"/>
      <c r="J39" s="22"/>
      <c r="K39" s="22"/>
      <c r="L39" s="22"/>
      <c r="M39" s="23"/>
      <c r="N39" s="23"/>
      <c r="O39" s="24"/>
      <c r="P39" s="24"/>
      <c r="Q39" s="24"/>
      <c r="R39" s="25"/>
      <c r="S39" s="25"/>
      <c r="T39" s="25"/>
      <c r="U39" s="25"/>
      <c r="V39" s="25"/>
      <c r="W39" s="25"/>
      <c r="X39" s="25"/>
      <c r="Y39" s="25"/>
    </row>
    <row r="40">
      <c r="A40" s="34">
        <f t="shared" si="1"/>
        <v>36</v>
      </c>
      <c r="B40" s="80" t="s">
        <v>794</v>
      </c>
      <c r="C40" s="34" t="s">
        <v>375</v>
      </c>
      <c r="D40" s="34" t="s">
        <v>130</v>
      </c>
      <c r="E40" s="89" t="str">
        <f>HYPERLINK("http://teiju.town.tomika.gifu.jp/akiya-bank/index.html", "Link to " &amp; "Tochigi Prefrecture : " &amp; $B40 &amp;" City")</f>
        <v>Link to Tochigi Prefrecture : Tomika City</v>
      </c>
      <c r="F40" s="36"/>
      <c r="G40" s="36"/>
      <c r="H40" s="36"/>
      <c r="I40" s="36"/>
      <c r="J40" s="34"/>
      <c r="K40" s="34"/>
      <c r="L40" s="34"/>
      <c r="M40" s="36"/>
      <c r="N40" s="36"/>
      <c r="O40" s="37"/>
      <c r="P40" s="37"/>
      <c r="Q40" s="37"/>
      <c r="R40" s="38"/>
      <c r="S40" s="38"/>
      <c r="T40" s="38"/>
      <c r="U40" s="38"/>
      <c r="V40" s="38"/>
      <c r="W40" s="38"/>
      <c r="X40" s="38"/>
      <c r="Y40" s="38"/>
    </row>
    <row r="41">
      <c r="A41" s="22">
        <f t="shared" si="1"/>
        <v>37</v>
      </c>
      <c r="B41" s="87" t="s">
        <v>795</v>
      </c>
      <c r="C41" s="22" t="s">
        <v>463</v>
      </c>
      <c r="D41" s="22" t="s">
        <v>173</v>
      </c>
      <c r="E41" s="91" t="str">
        <f>HYPERLINK("https://www.akiyabanks.com/error", "Link to " &amp; "Tochigi Prefrecture : " &amp; $B41 &amp;" City")</f>
        <v>Link to Tochigi Prefrecture : Wanouchi City</v>
      </c>
      <c r="F41" s="23"/>
      <c r="G41" s="23"/>
      <c r="H41" s="23"/>
      <c r="I41" s="23"/>
      <c r="J41" s="22"/>
      <c r="K41" s="22"/>
      <c r="L41" s="22"/>
      <c r="M41" s="23"/>
      <c r="N41" s="23"/>
      <c r="O41" s="25"/>
      <c r="P41" s="25"/>
      <c r="Q41" s="25"/>
      <c r="R41" s="25"/>
      <c r="S41" s="25"/>
      <c r="T41" s="25"/>
      <c r="U41" s="25"/>
      <c r="V41" s="25"/>
      <c r="W41" s="25"/>
      <c r="X41" s="25"/>
      <c r="Y41" s="25"/>
    </row>
    <row r="42">
      <c r="A42" s="34">
        <f t="shared" si="1"/>
        <v>38</v>
      </c>
      <c r="B42" s="80" t="s">
        <v>414</v>
      </c>
      <c r="C42" s="34" t="s">
        <v>375</v>
      </c>
      <c r="D42" s="34" t="s">
        <v>130</v>
      </c>
      <c r="E42" s="89" t="str">
        <f>HYPERLINK("https://www-city-yamagata-gifu-jp.translate.goog/site/yamanavi/list9-35.html?_x_tr_sl=ja&amp;_x_tr_tl=en&amp;_x_tr_hl=en-GB", "Link to " &amp; "Tochigi Prefrecture : " &amp; $B42 &amp;" City")</f>
        <v>Link to Tochigi Prefrecture : Yamagata City</v>
      </c>
      <c r="F42" s="36"/>
      <c r="G42" s="36"/>
      <c r="H42" s="36"/>
      <c r="I42" s="36"/>
      <c r="J42" s="34"/>
      <c r="K42" s="34"/>
      <c r="L42" s="34"/>
      <c r="M42" s="36"/>
      <c r="N42" s="36"/>
      <c r="O42" s="38"/>
      <c r="P42" s="38"/>
      <c r="Q42" s="38"/>
      <c r="R42" s="38"/>
      <c r="S42" s="38"/>
      <c r="T42" s="38"/>
      <c r="U42" s="38"/>
      <c r="V42" s="38"/>
      <c r="W42" s="38"/>
      <c r="X42" s="38"/>
      <c r="Y42" s="38"/>
    </row>
    <row r="43">
      <c r="A43" s="34">
        <f t="shared" si="1"/>
        <v>39</v>
      </c>
      <c r="B43" s="80" t="s">
        <v>796</v>
      </c>
      <c r="C43" s="34" t="s">
        <v>375</v>
      </c>
      <c r="D43" s="34" t="s">
        <v>130</v>
      </c>
      <c r="E43" s="89" t="str">
        <f>HYPERLINK("https://akiya--yaotsu-jp.translate.goog/akiyabank?_x_tr_sl=ja&amp;_x_tr_tl=en&amp;_x_tr_hl=en-GB", "Link to " &amp; "Tochigi Prefrecture : " &amp; $B43 &amp;" City")</f>
        <v>Link to Tochigi Prefrecture : Yaotsu City</v>
      </c>
      <c r="F43" s="36"/>
      <c r="G43" s="36"/>
      <c r="H43" s="36"/>
      <c r="I43" s="36"/>
      <c r="J43" s="34"/>
      <c r="K43" s="34"/>
      <c r="L43" s="34"/>
      <c r="M43" s="36"/>
      <c r="N43" s="36"/>
      <c r="O43" s="38"/>
      <c r="P43" s="38"/>
      <c r="Q43" s="38"/>
      <c r="R43" s="38"/>
      <c r="S43" s="38"/>
      <c r="T43" s="38"/>
      <c r="U43" s="38"/>
      <c r="V43" s="38"/>
      <c r="W43" s="38"/>
      <c r="X43" s="38"/>
      <c r="Y43" s="38"/>
    </row>
    <row r="44">
      <c r="A44" s="22">
        <f t="shared" si="1"/>
        <v>40</v>
      </c>
      <c r="B44" s="87" t="s">
        <v>797</v>
      </c>
      <c r="C44" s="22" t="s">
        <v>375</v>
      </c>
      <c r="D44" s="22" t="s">
        <v>173</v>
      </c>
      <c r="E44" s="91" t="str">
        <f>HYPERLINK("https://www-town-yoro-gifu-jp.translate.goog/docs/2018013000021/?_x_tr_sl=ja&amp;_x_tr_tl=en&amp;_x_tr_hl=en-GB", "Link to " &amp; "Tochigi Prefrecture : " &amp; $B44 &amp;" City")</f>
        <v>Link to Tochigi Prefrecture : Yōrō City</v>
      </c>
      <c r="F44" s="23"/>
      <c r="G44" s="23"/>
      <c r="H44" s="23"/>
      <c r="I44" s="23"/>
      <c r="J44" s="22"/>
      <c r="K44" s="22"/>
      <c r="L44" s="22"/>
      <c r="M44" s="23"/>
      <c r="N44" s="23"/>
      <c r="O44" s="25"/>
      <c r="P44" s="25"/>
      <c r="Q44" s="25"/>
      <c r="R44" s="25"/>
      <c r="S44" s="25"/>
      <c r="T44" s="25"/>
      <c r="U44" s="25"/>
      <c r="V44" s="25"/>
      <c r="W44" s="25"/>
      <c r="X44" s="25"/>
      <c r="Y44" s="25"/>
    </row>
    <row r="45">
      <c r="A45" s="34">
        <f t="shared" si="1"/>
        <v>41</v>
      </c>
      <c r="B45" s="80" t="s">
        <v>798</v>
      </c>
      <c r="C45" s="34" t="s">
        <v>375</v>
      </c>
      <c r="D45" s="34" t="s">
        <v>130</v>
      </c>
      <c r="E45" s="89" t="str">
        <f>HYPERLINK("https://www-ogaki--akiya-net.translate.goog/?_x_tr_sl=ja&amp;_x_tr_tl=en&amp;_x_tr_hl=en-GB", "Link to " &amp; "Tochigi Prefrecture : " &amp; $B45 &amp;" City")</f>
        <v>Link to Tochigi Prefrecture : Ōgaki City</v>
      </c>
      <c r="F45" s="36"/>
      <c r="G45" s="36"/>
      <c r="H45" s="36"/>
      <c r="I45" s="36"/>
      <c r="J45" s="34"/>
      <c r="K45" s="34"/>
      <c r="L45" s="34"/>
      <c r="M45" s="36"/>
      <c r="N45" s="36"/>
      <c r="O45" s="38"/>
      <c r="P45" s="38"/>
      <c r="Q45" s="38"/>
      <c r="R45" s="38"/>
      <c r="S45" s="38"/>
      <c r="T45" s="38"/>
      <c r="U45" s="38"/>
      <c r="V45" s="38"/>
      <c r="W45" s="38"/>
      <c r="X45" s="38"/>
      <c r="Y45" s="38"/>
    </row>
    <row r="46">
      <c r="A46" s="29">
        <f t="shared" si="1"/>
        <v>42</v>
      </c>
      <c r="B46" s="81" t="s">
        <v>799</v>
      </c>
      <c r="C46" s="29" t="s">
        <v>375</v>
      </c>
      <c r="D46" s="29" t="s">
        <v>162</v>
      </c>
      <c r="E46" s="90" t="str">
        <f>HYPERLINK("https://www-town--ono-jp.translate.goog/0000001138.html?_x_tr_sl=ja&amp;_x_tr_tl=en&amp;_x_tr_hl=en-GB", "Link to " &amp; "Tochigi Prefrecture : " &amp; $B46 &amp;" City")</f>
        <v>Link to Tochigi Prefrecture : Ōno City</v>
      </c>
      <c r="F46" s="31"/>
      <c r="G46" s="31"/>
      <c r="H46" s="31"/>
      <c r="I46" s="31"/>
      <c r="J46" s="29"/>
      <c r="K46" s="29"/>
      <c r="L46" s="29"/>
      <c r="M46" s="31"/>
      <c r="N46" s="31"/>
      <c r="O46" s="33"/>
      <c r="P46" s="33"/>
      <c r="Q46" s="33"/>
      <c r="R46" s="33"/>
      <c r="S46" s="33"/>
      <c r="T46" s="33"/>
      <c r="U46" s="33"/>
      <c r="V46" s="33"/>
      <c r="W46" s="33"/>
      <c r="X46" s="33"/>
      <c r="Y46" s="33"/>
    </row>
    <row r="47">
      <c r="A47" s="111"/>
      <c r="C47" s="111"/>
      <c r="D47" s="111"/>
      <c r="J47" s="111"/>
      <c r="K47" s="111"/>
      <c r="L47" s="111"/>
    </row>
    <row r="48">
      <c r="A48" s="111"/>
      <c r="C48" s="111"/>
      <c r="D48" s="111"/>
      <c r="J48" s="111"/>
      <c r="K48" s="111"/>
      <c r="L48" s="111"/>
    </row>
    <row r="49">
      <c r="A49" s="111"/>
      <c r="C49" s="111"/>
      <c r="D49" s="111"/>
      <c r="J49" s="111"/>
      <c r="K49" s="111"/>
      <c r="L49" s="111"/>
    </row>
    <row r="50">
      <c r="A50" s="111"/>
      <c r="C50" s="111"/>
      <c r="D50" s="111"/>
      <c r="J50" s="111"/>
      <c r="K50" s="111"/>
      <c r="L50" s="111"/>
    </row>
    <row r="51">
      <c r="A51" s="111"/>
      <c r="C51" s="111"/>
      <c r="D51" s="111"/>
      <c r="J51" s="111"/>
      <c r="K51" s="111"/>
      <c r="L51" s="111"/>
    </row>
    <row r="52">
      <c r="A52" s="111"/>
      <c r="C52" s="111"/>
      <c r="D52" s="111"/>
      <c r="J52" s="111"/>
      <c r="K52" s="111"/>
      <c r="L52" s="111"/>
    </row>
    <row r="53">
      <c r="A53" s="111"/>
      <c r="C53" s="111"/>
      <c r="D53" s="111"/>
      <c r="J53" s="111"/>
      <c r="K53" s="111"/>
      <c r="L53" s="111"/>
    </row>
    <row r="54">
      <c r="A54" s="111"/>
      <c r="C54" s="111"/>
      <c r="D54" s="111"/>
      <c r="J54" s="111"/>
      <c r="K54" s="111"/>
      <c r="L54" s="111"/>
    </row>
    <row r="55">
      <c r="A55" s="111"/>
      <c r="C55" s="111"/>
      <c r="D55" s="111"/>
      <c r="J55" s="111"/>
      <c r="K55" s="111"/>
      <c r="L55" s="111"/>
    </row>
    <row r="56">
      <c r="A56" s="111"/>
      <c r="C56" s="111"/>
      <c r="D56" s="111"/>
      <c r="J56" s="111"/>
      <c r="K56" s="111"/>
      <c r="L56" s="111"/>
    </row>
    <row r="57">
      <c r="A57" s="111"/>
      <c r="C57" s="111"/>
      <c r="D57" s="111"/>
      <c r="J57" s="111"/>
      <c r="K57" s="111"/>
      <c r="L57" s="111"/>
    </row>
    <row r="58">
      <c r="A58" s="111"/>
      <c r="C58" s="111"/>
      <c r="D58" s="111"/>
      <c r="J58" s="111"/>
      <c r="K58" s="111"/>
      <c r="L58" s="111"/>
    </row>
    <row r="59">
      <c r="A59" s="111"/>
      <c r="C59" s="111"/>
      <c r="D59" s="111"/>
      <c r="J59" s="111"/>
      <c r="K59" s="111"/>
      <c r="L59" s="111"/>
    </row>
  </sheetData>
  <drawing r:id="rId1"/>
</worksheet>
</file>